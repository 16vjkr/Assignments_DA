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431a9d1903be8b0/Desktop/PW Skills/PWS Assignments/Session 1/"/>
    </mc:Choice>
  </mc:AlternateContent>
  <xr:revisionPtr revIDLastSave="329" documentId="11_F25DC773A252ABDACC104880799D48A65ADE58F2" xr6:coauthVersionLast="47" xr6:coauthVersionMax="47" xr10:uidLastSave="{3A020A1B-C092-4CAB-B880-7492E0600D93}"/>
  <bookViews>
    <workbookView xWindow="28680" yWindow="-120" windowWidth="29040" windowHeight="15720" firstSheet="7" activeTab="11" xr2:uid="{00000000-000D-0000-FFFF-FFFF00000000}"/>
  </bookViews>
  <sheets>
    <sheet name="Raw Data" sheetId="1" r:id="rId1"/>
    <sheet name="Dataset" sheetId="2" r:id="rId2"/>
    <sheet name="Task 1 Total Sales" sheetId="3" r:id="rId3"/>
    <sheet name="Task 2 Data Formatting" sheetId="4" r:id="rId4"/>
    <sheet name="Task 3 Summary Calculations" sheetId="5" r:id="rId5"/>
    <sheet name="Task 5 Filtered Data" sheetId="7" r:id="rId6"/>
    <sheet name="Task 4 Sorted Data" sheetId="6" r:id="rId7"/>
    <sheet name="Task 6 Counting Records" sheetId="8" r:id="rId8"/>
    <sheet name="Task 7 Region Wise Summary" sheetId="9" r:id="rId9"/>
    <sheet name="Task 8 Identify Extreme Values" sheetId="10" r:id="rId10"/>
    <sheet name="Task 9 Top Order" sheetId="11" r:id="rId11"/>
    <sheet name="Task 10 Final Report Sheet" sheetId="12" r:id="rId12"/>
  </sheets>
  <definedNames>
    <definedName name="_xlnm._FilterDatabase" localSheetId="1" hidden="1">Dataset!$A$1:$G$71</definedName>
    <definedName name="_xlnm._FilterDatabase" localSheetId="5" hidden="1">'Task 5 Filtered Data'!$A$1:$G$71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2" l="1"/>
  <c r="L6" i="12"/>
  <c r="L5" i="12"/>
  <c r="L4" i="12"/>
  <c r="L3" i="12"/>
  <c r="H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3" i="11"/>
  <c r="H12" i="11"/>
  <c r="H2" i="11"/>
  <c r="H8" i="11"/>
  <c r="H11" i="11"/>
  <c r="H7" i="11"/>
  <c r="H5" i="11"/>
  <c r="H4" i="11"/>
  <c r="H9" i="11"/>
  <c r="H6" i="11"/>
  <c r="H10" i="11"/>
  <c r="M4" i="10"/>
  <c r="M3" i="10"/>
  <c r="L3" i="10"/>
  <c r="L4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L6" i="9"/>
  <c r="L4" i="9"/>
  <c r="L5" i="9"/>
  <c r="L3" i="9"/>
  <c r="K6" i="9"/>
  <c r="K5" i="9"/>
  <c r="K4" i="9"/>
  <c r="K3" i="9"/>
  <c r="J3" i="9" a="1"/>
  <c r="J3" i="9" s="1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2" i="9"/>
  <c r="C5" i="8"/>
  <c r="C4" i="8"/>
  <c r="C3" i="8"/>
  <c r="C3" i="5"/>
  <c r="C4" i="5"/>
  <c r="C6" i="5"/>
  <c r="C5" i="5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<sst xmlns="http://schemas.openxmlformats.org/spreadsheetml/2006/main" count="2353" uniqueCount="125">
  <si>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</si>
  <si>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</si>
  <si>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</si>
  <si>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</si>
  <si>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</si>
  <si>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</si>
  <si>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</si>
  <si>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</si>
  <si>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</si>
  <si>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</si>
  <si>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</si>
  <si>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</si>
  <si>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</si>
  <si>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</si>
  <si>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</si>
  <si>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</si>
  <si>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</si>
  <si>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</si>
  <si>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</si>
  <si>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</si>
  <si>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</si>
  <si>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</si>
  <si>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</si>
  <si>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</si>
  <si>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</si>
  <si>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</si>
  <si>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</si>
  <si>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</si>
  <si>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</si>
  <si>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13-01-2024</t>
  </si>
  <si>
    <t>Divya Kapoor</t>
  </si>
  <si>
    <t>14-01-2024</t>
  </si>
  <si>
    <t>Sahil Arora</t>
  </si>
  <si>
    <t>15-01-2024</t>
  </si>
  <si>
    <t>Muskan Jain</t>
  </si>
  <si>
    <t>16-01-2024</t>
  </si>
  <si>
    <t>Rohan Gupta</t>
  </si>
  <si>
    <t>17-01-2024</t>
  </si>
  <si>
    <t>Nidhi Sharma</t>
  </si>
  <si>
    <t>18-01-2024</t>
  </si>
  <si>
    <t>Tarun Verma</t>
  </si>
  <si>
    <t>19-01-2024</t>
  </si>
  <si>
    <t>Simran Kaur</t>
  </si>
  <si>
    <t>20-01-2024</t>
  </si>
  <si>
    <t>Deepak Rao</t>
  </si>
  <si>
    <t>21-01-2024</t>
  </si>
  <si>
    <t>Payal Mehta</t>
  </si>
  <si>
    <t>22-01-2024</t>
  </si>
  <si>
    <t>Aditya Singh</t>
  </si>
  <si>
    <t>23-01-2024</t>
  </si>
  <si>
    <t>Shreya Nair</t>
  </si>
  <si>
    <t>24-01-2024</t>
  </si>
  <si>
    <t>Sanjay Kumar</t>
  </si>
  <si>
    <t>25-01-2024</t>
  </si>
  <si>
    <t>Aarti Sharma</t>
  </si>
  <si>
    <t>26-01-2024</t>
  </si>
  <si>
    <t>Rajesh Patel</t>
  </si>
  <si>
    <t>27-01-2024</t>
  </si>
  <si>
    <t>Preeti Joshi</t>
  </si>
  <si>
    <t>28-01-2024</t>
  </si>
  <si>
    <t>Anurag Mishra</t>
  </si>
  <si>
    <t>29-01-2024</t>
  </si>
  <si>
    <t>Sanya Kapoor</t>
  </si>
  <si>
    <t>30-01-2024</t>
  </si>
  <si>
    <t>Harsh Yadav</t>
  </si>
  <si>
    <t>31-01-2024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</si>
  <si>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</si>
  <si>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</si>
  <si>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</si>
  <si>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</si>
  <si>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</si>
  <si>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</si>
  <si>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</si>
  <si>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</si>
  <si>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</si>
  <si>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</si>
  <si>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</si>
  <si>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</si>
  <si>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</si>
  <si>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13-02-2024</t>
  </si>
  <si>
    <t>Manish Das</t>
  </si>
  <si>
    <t>14-02-2024</t>
  </si>
  <si>
    <t>Rupal Nair</t>
  </si>
  <si>
    <t>15-02-2024</t>
  </si>
  <si>
    <t>Sonia Verma</t>
  </si>
  <si>
    <t>16-02-2024</t>
  </si>
  <si>
    <t>Kunal Singh</t>
  </si>
  <si>
    <t>17-02-2024</t>
  </si>
  <si>
    <t>Ritika Jain</t>
  </si>
  <si>
    <t>18-02-2024</t>
  </si>
  <si>
    <t>Vivek Malhotra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</si>
  <si>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</si>
  <si>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</si>
  <si>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</si>
  <si>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</si>
  <si>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</si>
  <si>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</si>
  <si>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</si>
  <si>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</si>
  <si>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</si>
  <si>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</si>
  <si>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</si>
  <si>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Total Sales</t>
  </si>
  <si>
    <t>Summary Section</t>
  </si>
  <si>
    <t>Total Quantity Sold</t>
  </si>
  <si>
    <t>Average Quantity</t>
  </si>
  <si>
    <t>Maximum Quantity</t>
  </si>
  <si>
    <t>Minimum Quantity</t>
  </si>
  <si>
    <t>Counting Records</t>
  </si>
  <si>
    <t>Total Number of orders</t>
  </si>
  <si>
    <t>Number of orders in North Region</t>
  </si>
  <si>
    <t>Count Pen orders in South region</t>
  </si>
  <si>
    <t xml:space="preserve">Region </t>
  </si>
  <si>
    <t>Total Quantity</t>
  </si>
  <si>
    <t>Identifying the Extreme Values</t>
  </si>
  <si>
    <t>Order with Highest Total Sales</t>
  </si>
  <si>
    <t>Order with Lowest Total Sales</t>
  </si>
  <si>
    <t>Amount</t>
  </si>
  <si>
    <t>Order ID</t>
  </si>
  <si>
    <t>Extract top 10 orders</t>
  </si>
  <si>
    <t>Final Report</t>
  </si>
  <si>
    <t>Total Orders</t>
  </si>
  <si>
    <t>Highest Sale</t>
  </si>
  <si>
    <t>Lowest Sale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</si>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</sst>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mm\-dd\-yyyy"/>
    <numFmt numFmtId="167" formatCode="&quot;₹&quot;\ #,##0.00"/>
    <numFmt numFmtId="175" formatCode="_ * #,##0_ ;_ * \-#,##0_ ;_ * &quot;-&quot;??_ ;_ @_ 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7" fontId="0" fillId="0" borderId="0" xfId="0" applyNumberForma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167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7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75" fontId="0" fillId="0" borderId="1" xfId="0" applyNumberFormat="1" applyBorder="1"/>
    <xf numFmtId="0" fontId="3" fillId="0" borderId="1" xfId="0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67" fontId="6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center"/>
    </xf>
    <xf numFmtId="167" fontId="3" fillId="0" borderId="1" xfId="1" applyNumberFormat="1" applyFont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1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3B3B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workbookViewId="0">
      <selection sqref="A1:XFD1048576"/>
    </sheetView>
  </sheetViews>
  <sheetFormatPr defaultColWidth="14.44140625" defaultRowHeight="14.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4001</v>
      </c>
      <c r="B2" s="1" t="s">
        <v>7</v>
      </c>
      <c r="C2" s="1" t="s">
        <v>8</v>
      </c>
      <c r="D2" s="1" t="s">
        <v>9</v>
      </c>
      <c r="E2" s="2">
        <v>10</v>
      </c>
      <c r="F2" s="2">
        <v>50</v>
      </c>
      <c r="G2" s="3">
        <v>45292</v>
      </c>
    </row>
    <row r="3" spans="1:7">
      <c r="A3" s="2">
        <v>4002</v>
      </c>
      <c r="B3" s="1" t="s">
        <v>10</v>
      </c>
      <c r="C3" s="1" t="s">
        <v>11</v>
      </c>
      <c r="D3" s="1" t="s">
        <v>12</v>
      </c>
      <c r="E3" s="2">
        <v>20</v>
      </c>
      <c r="F3" s="2">
        <v>10</v>
      </c>
      <c r="G3" s="3">
        <v>45323</v>
      </c>
    </row>
    <row r="4" spans="1:7">
      <c r="A4" s="2">
        <v>4003</v>
      </c>
      <c r="B4" s="1" t="s">
        <v>13</v>
      </c>
      <c r="C4" s="1" t="s">
        <v>14</v>
      </c>
      <c r="D4" s="1" t="s">
        <v>15</v>
      </c>
      <c r="E4" s="2">
        <v>15</v>
      </c>
      <c r="F4" s="2">
        <v>25</v>
      </c>
      <c r="G4" s="3">
        <v>45352</v>
      </c>
    </row>
    <row r="5" spans="1:7">
      <c r="A5" s="2">
        <v>4004</v>
      </c>
      <c r="B5" s="1" t="s">
        <v>16</v>
      </c>
      <c r="C5" s="1" t="s">
        <v>17</v>
      </c>
      <c r="D5" s="1" t="s">
        <v>9</v>
      </c>
      <c r="E5" s="2">
        <v>5</v>
      </c>
      <c r="F5" s="2">
        <v>50</v>
      </c>
      <c r="G5" s="3">
        <v>45383</v>
      </c>
    </row>
    <row r="6" spans="1:7">
      <c r="A6" s="2">
        <v>4005</v>
      </c>
      <c r="B6" s="1" t="s">
        <v>18</v>
      </c>
      <c r="C6" s="1" t="s">
        <v>8</v>
      </c>
      <c r="D6" s="1" t="s">
        <v>19</v>
      </c>
      <c r="E6" s="2">
        <v>30</v>
      </c>
      <c r="F6" s="2">
        <v>5</v>
      </c>
      <c r="G6" s="3">
        <v>45413</v>
      </c>
    </row>
    <row r="7" spans="1:7">
      <c r="A7" s="2">
        <v>4006</v>
      </c>
      <c r="B7" s="1" t="s">
        <v>20</v>
      </c>
      <c r="C7" s="1" t="s">
        <v>11</v>
      </c>
      <c r="D7" s="1" t="s">
        <v>9</v>
      </c>
      <c r="E7" s="2">
        <v>12</v>
      </c>
      <c r="F7" s="2">
        <v>50</v>
      </c>
      <c r="G7" s="3">
        <v>45444</v>
      </c>
    </row>
    <row r="8" spans="1:7">
      <c r="A8" s="2">
        <v>4007</v>
      </c>
      <c r="B8" s="1" t="s">
        <v>21</v>
      </c>
      <c r="C8" s="1" t="s">
        <v>14</v>
      </c>
      <c r="D8" s="1" t="s">
        <v>22</v>
      </c>
      <c r="E8" s="2">
        <v>25</v>
      </c>
      <c r="F8" s="2">
        <v>8</v>
      </c>
      <c r="G8" s="3">
        <v>45474</v>
      </c>
    </row>
    <row r="9" spans="1:7">
      <c r="A9" s="2">
        <v>4008</v>
      </c>
      <c r="B9" s="1" t="s">
        <v>23</v>
      </c>
      <c r="C9" s="1" t="s">
        <v>17</v>
      </c>
      <c r="D9" s="1" t="s">
        <v>12</v>
      </c>
      <c r="E9" s="2">
        <v>18</v>
      </c>
      <c r="F9" s="2">
        <v>10</v>
      </c>
      <c r="G9" s="3">
        <v>45505</v>
      </c>
    </row>
    <row r="10" spans="1:7">
      <c r="A10" s="2">
        <v>4009</v>
      </c>
      <c r="B10" s="1" t="s">
        <v>24</v>
      </c>
      <c r="C10" s="1" t="s">
        <v>8</v>
      </c>
      <c r="D10" s="1" t="s">
        <v>15</v>
      </c>
      <c r="E10" s="2">
        <v>22</v>
      </c>
      <c r="F10" s="2">
        <v>25</v>
      </c>
      <c r="G10" s="3">
        <v>45536</v>
      </c>
    </row>
    <row r="11" spans="1:7">
      <c r="A11" s="2">
        <v>4010</v>
      </c>
      <c r="B11" s="1" t="s">
        <v>25</v>
      </c>
      <c r="C11" s="1" t="s">
        <v>11</v>
      </c>
      <c r="D11" s="1" t="s">
        <v>9</v>
      </c>
      <c r="E11" s="2">
        <v>8</v>
      </c>
      <c r="F11" s="2">
        <v>50</v>
      </c>
      <c r="G11" s="3">
        <v>45566</v>
      </c>
    </row>
    <row r="12" spans="1:7">
      <c r="A12" s="2">
        <v>4011</v>
      </c>
      <c r="B12" s="1" t="s">
        <v>26</v>
      </c>
      <c r="C12" s="1" t="s">
        <v>14</v>
      </c>
      <c r="D12" s="1" t="s">
        <v>19</v>
      </c>
      <c r="E12" s="2">
        <v>40</v>
      </c>
      <c r="F12" s="2">
        <v>5</v>
      </c>
      <c r="G12" s="3">
        <v>45597</v>
      </c>
    </row>
    <row r="13" spans="1:7">
      <c r="A13" s="2">
        <v>4012</v>
      </c>
      <c r="B13" s="1" t="s">
        <v>27</v>
      </c>
      <c r="C13" s="1" t="s">
        <v>17</v>
      </c>
      <c r="D13" s="1" t="s">
        <v>22</v>
      </c>
      <c r="E13" s="2">
        <v>35</v>
      </c>
      <c r="F13" s="2">
        <v>8</v>
      </c>
      <c r="G13" s="3">
        <v>45627</v>
      </c>
    </row>
    <row r="14" spans="1:7">
      <c r="A14" s="2">
        <v>4013</v>
      </c>
      <c r="B14" s="1" t="s">
        <v>28</v>
      </c>
      <c r="C14" s="1" t="s">
        <v>8</v>
      </c>
      <c r="D14" s="1" t="s">
        <v>9</v>
      </c>
      <c r="E14" s="2">
        <v>14</v>
      </c>
      <c r="F14" s="2">
        <v>50</v>
      </c>
      <c r="G14" s="2" t="s">
        <v>29</v>
      </c>
    </row>
    <row r="15" spans="1:7">
      <c r="A15" s="2">
        <v>4014</v>
      </c>
      <c r="B15" s="1" t="s">
        <v>30</v>
      </c>
      <c r="C15" s="1" t="s">
        <v>11</v>
      </c>
      <c r="D15" s="1" t="s">
        <v>12</v>
      </c>
      <c r="E15" s="2">
        <v>28</v>
      </c>
      <c r="F15" s="2">
        <v>10</v>
      </c>
      <c r="G15" s="2" t="s">
        <v>31</v>
      </c>
    </row>
    <row r="16" spans="1:7">
      <c r="A16" s="2">
        <v>4015</v>
      </c>
      <c r="B16" s="1" t="s">
        <v>32</v>
      </c>
      <c r="C16" s="1" t="s">
        <v>14</v>
      </c>
      <c r="D16" s="1" t="s">
        <v>15</v>
      </c>
      <c r="E16" s="2">
        <v>12</v>
      </c>
      <c r="F16" s="2">
        <v>25</v>
      </c>
      <c r="G16" s="2" t="s">
        <v>33</v>
      </c>
    </row>
    <row r="17" spans="1:7">
      <c r="A17" s="2">
        <v>4016</v>
      </c>
      <c r="B17" s="1" t="s">
        <v>34</v>
      </c>
      <c r="C17" s="1" t="s">
        <v>17</v>
      </c>
      <c r="D17" s="1" t="s">
        <v>19</v>
      </c>
      <c r="E17" s="2">
        <v>25</v>
      </c>
      <c r="F17" s="2">
        <v>5</v>
      </c>
      <c r="G17" s="2" t="s">
        <v>35</v>
      </c>
    </row>
    <row r="18" spans="1:7">
      <c r="A18" s="2">
        <v>4017</v>
      </c>
      <c r="B18" s="1" t="s">
        <v>36</v>
      </c>
      <c r="C18" s="1" t="s">
        <v>8</v>
      </c>
      <c r="D18" s="1" t="s">
        <v>22</v>
      </c>
      <c r="E18" s="2">
        <v>20</v>
      </c>
      <c r="F18" s="2">
        <v>8</v>
      </c>
      <c r="G18" s="2" t="s">
        <v>37</v>
      </c>
    </row>
    <row r="19" spans="1:7">
      <c r="A19" s="2">
        <v>4018</v>
      </c>
      <c r="B19" s="1" t="s">
        <v>38</v>
      </c>
      <c r="C19" s="1" t="s">
        <v>11</v>
      </c>
      <c r="D19" s="1" t="s">
        <v>9</v>
      </c>
      <c r="E19" s="2">
        <v>10</v>
      </c>
      <c r="F19" s="2">
        <v>50</v>
      </c>
      <c r="G19" s="2" t="s">
        <v>39</v>
      </c>
    </row>
    <row r="20" spans="1:7">
      <c r="A20" s="2">
        <v>4019</v>
      </c>
      <c r="B20" s="1" t="s">
        <v>40</v>
      </c>
      <c r="C20" s="1" t="s">
        <v>14</v>
      </c>
      <c r="D20" s="1" t="s">
        <v>12</v>
      </c>
      <c r="E20" s="2">
        <v>15</v>
      </c>
      <c r="F20" s="2">
        <v>10</v>
      </c>
      <c r="G20" s="2" t="s">
        <v>41</v>
      </c>
    </row>
    <row r="21" spans="1:7">
      <c r="A21" s="2">
        <v>4020</v>
      </c>
      <c r="B21" s="1" t="s">
        <v>42</v>
      </c>
      <c r="C21" s="1" t="s">
        <v>17</v>
      </c>
      <c r="D21" s="1" t="s">
        <v>15</v>
      </c>
      <c r="E21" s="2">
        <v>18</v>
      </c>
      <c r="F21" s="2">
        <v>25</v>
      </c>
      <c r="G21" s="2" t="s">
        <v>43</v>
      </c>
    </row>
    <row r="22" spans="1:7">
      <c r="A22" s="2">
        <v>4021</v>
      </c>
      <c r="B22" s="1" t="s">
        <v>44</v>
      </c>
      <c r="C22" s="1" t="s">
        <v>8</v>
      </c>
      <c r="D22" s="1" t="s">
        <v>9</v>
      </c>
      <c r="E22" s="2">
        <v>9</v>
      </c>
      <c r="F22" s="2">
        <v>50</v>
      </c>
      <c r="G22" s="2" t="s">
        <v>45</v>
      </c>
    </row>
    <row r="23" spans="1:7">
      <c r="A23" s="2">
        <v>4022</v>
      </c>
      <c r="B23" s="1" t="s">
        <v>46</v>
      </c>
      <c r="C23" s="1" t="s">
        <v>11</v>
      </c>
      <c r="D23" s="1" t="s">
        <v>19</v>
      </c>
      <c r="E23" s="2">
        <v>35</v>
      </c>
      <c r="F23" s="2">
        <v>5</v>
      </c>
      <c r="G23" s="2" t="s">
        <v>47</v>
      </c>
    </row>
    <row r="24" spans="1:7">
      <c r="A24" s="2">
        <v>4023</v>
      </c>
      <c r="B24" s="1" t="s">
        <v>48</v>
      </c>
      <c r="C24" s="1" t="s">
        <v>14</v>
      </c>
      <c r="D24" s="1" t="s">
        <v>22</v>
      </c>
      <c r="E24" s="2">
        <v>30</v>
      </c>
      <c r="F24" s="2">
        <v>8</v>
      </c>
      <c r="G24" s="2" t="s">
        <v>49</v>
      </c>
    </row>
    <row r="25" spans="1:7">
      <c r="A25" s="2">
        <v>4024</v>
      </c>
      <c r="B25" s="1" t="s">
        <v>50</v>
      </c>
      <c r="C25" s="1" t="s">
        <v>17</v>
      </c>
      <c r="D25" s="1" t="s">
        <v>9</v>
      </c>
      <c r="E25" s="2">
        <v>11</v>
      </c>
      <c r="F25" s="2">
        <v>50</v>
      </c>
      <c r="G25" s="2" t="s">
        <v>51</v>
      </c>
    </row>
    <row r="26" spans="1:7">
      <c r="A26" s="2">
        <v>4025</v>
      </c>
      <c r="B26" s="1" t="s">
        <v>52</v>
      </c>
      <c r="C26" s="1" t="s">
        <v>8</v>
      </c>
      <c r="D26" s="1" t="s">
        <v>12</v>
      </c>
      <c r="E26" s="2">
        <v>14</v>
      </c>
      <c r="F26" s="2">
        <v>10</v>
      </c>
      <c r="G26" s="2" t="s">
        <v>53</v>
      </c>
    </row>
    <row r="27" spans="1:7">
      <c r="A27" s="2">
        <v>4026</v>
      </c>
      <c r="B27" s="1" t="s">
        <v>54</v>
      </c>
      <c r="C27" s="1" t="s">
        <v>11</v>
      </c>
      <c r="D27" s="1" t="s">
        <v>15</v>
      </c>
      <c r="E27" s="2">
        <v>16</v>
      </c>
      <c r="F27" s="2">
        <v>25</v>
      </c>
      <c r="G27" s="2" t="s">
        <v>55</v>
      </c>
    </row>
    <row r="28" spans="1:7">
      <c r="A28" s="2">
        <v>4027</v>
      </c>
      <c r="B28" s="1" t="s">
        <v>56</v>
      </c>
      <c r="C28" s="1" t="s">
        <v>14</v>
      </c>
      <c r="D28" s="1" t="s">
        <v>19</v>
      </c>
      <c r="E28" s="2">
        <v>22</v>
      </c>
      <c r="F28" s="2">
        <v>5</v>
      </c>
      <c r="G28" s="2" t="s">
        <v>57</v>
      </c>
    </row>
    <row r="29" spans="1:7">
      <c r="A29" s="2">
        <v>4028</v>
      </c>
      <c r="B29" s="1" t="s">
        <v>58</v>
      </c>
      <c r="C29" s="1" t="s">
        <v>17</v>
      </c>
      <c r="D29" s="1" t="s">
        <v>22</v>
      </c>
      <c r="E29" s="2">
        <v>27</v>
      </c>
      <c r="F29" s="2">
        <v>8</v>
      </c>
      <c r="G29" s="2" t="s">
        <v>59</v>
      </c>
    </row>
    <row r="30" spans="1:7">
      <c r="A30" s="2">
        <v>4029</v>
      </c>
      <c r="B30" s="1" t="s">
        <v>60</v>
      </c>
      <c r="C30" s="1" t="s">
        <v>8</v>
      </c>
      <c r="D30" s="1" t="s">
        <v>9</v>
      </c>
      <c r="E30" s="2">
        <v>13</v>
      </c>
      <c r="F30" s="2">
        <v>50</v>
      </c>
      <c r="G30" s="2" t="s">
        <v>61</v>
      </c>
    </row>
    <row r="31" spans="1:7">
      <c r="A31" s="2">
        <v>4030</v>
      </c>
      <c r="B31" s="1" t="s">
        <v>62</v>
      </c>
      <c r="C31" s="1" t="s">
        <v>11</v>
      </c>
      <c r="D31" s="1" t="s">
        <v>12</v>
      </c>
      <c r="E31" s="2">
        <v>32</v>
      </c>
      <c r="F31" s="2">
        <v>10</v>
      </c>
      <c r="G31" s="2" t="s">
        <v>63</v>
      </c>
    </row>
    <row r="32" spans="1:7">
      <c r="A32" s="2">
        <v>4031</v>
      </c>
      <c r="B32" s="1" t="s">
        <v>64</v>
      </c>
      <c r="C32" s="1" t="s">
        <v>14</v>
      </c>
      <c r="D32" s="1" t="s">
        <v>15</v>
      </c>
      <c r="E32" s="2">
        <v>10</v>
      </c>
      <c r="F32" s="2">
        <v>25</v>
      </c>
      <c r="G32" s="2" t="s">
        <v>65</v>
      </c>
    </row>
    <row r="33" spans="1:7">
      <c r="A33" s="2">
        <v>4032</v>
      </c>
      <c r="B33" s="1" t="s">
        <v>66</v>
      </c>
      <c r="C33" s="1" t="s">
        <v>17</v>
      </c>
      <c r="D33" s="1" t="s">
        <v>19</v>
      </c>
      <c r="E33" s="2">
        <v>18</v>
      </c>
      <c r="F33" s="2">
        <v>5</v>
      </c>
      <c r="G33" s="3">
        <v>45293</v>
      </c>
    </row>
    <row r="34" spans="1:7">
      <c r="A34" s="2">
        <v>4033</v>
      </c>
      <c r="B34" s="1" t="s">
        <v>67</v>
      </c>
      <c r="C34" s="1" t="s">
        <v>8</v>
      </c>
      <c r="D34" s="1" t="s">
        <v>22</v>
      </c>
      <c r="E34" s="2">
        <v>22</v>
      </c>
      <c r="F34" s="2">
        <v>8</v>
      </c>
      <c r="G34" s="3">
        <v>45324</v>
      </c>
    </row>
    <row r="35" spans="1:7">
      <c r="A35" s="2">
        <v>4034</v>
      </c>
      <c r="B35" s="1" t="s">
        <v>68</v>
      </c>
      <c r="C35" s="1" t="s">
        <v>11</v>
      </c>
      <c r="D35" s="1" t="s">
        <v>9</v>
      </c>
      <c r="E35" s="2">
        <v>17</v>
      </c>
      <c r="F35" s="2">
        <v>50</v>
      </c>
      <c r="G35" s="3">
        <v>45353</v>
      </c>
    </row>
    <row r="36" spans="1:7">
      <c r="A36" s="2">
        <v>4035</v>
      </c>
      <c r="B36" s="1" t="s">
        <v>69</v>
      </c>
      <c r="C36" s="1" t="s">
        <v>14</v>
      </c>
      <c r="D36" s="1" t="s">
        <v>12</v>
      </c>
      <c r="E36" s="2">
        <v>19</v>
      </c>
      <c r="F36" s="2">
        <v>10</v>
      </c>
      <c r="G36" s="3">
        <v>45384</v>
      </c>
    </row>
    <row r="37" spans="1:7">
      <c r="A37" s="2">
        <v>4036</v>
      </c>
      <c r="B37" s="1" t="s">
        <v>70</v>
      </c>
      <c r="C37" s="1" t="s">
        <v>17</v>
      </c>
      <c r="D37" s="1" t="s">
        <v>15</v>
      </c>
      <c r="E37" s="2">
        <v>15</v>
      </c>
      <c r="F37" s="2">
        <v>25</v>
      </c>
      <c r="G37" s="3">
        <v>45414</v>
      </c>
    </row>
    <row r="38" spans="1:7">
      <c r="A38" s="2">
        <v>4037</v>
      </c>
      <c r="B38" s="1" t="s">
        <v>71</v>
      </c>
      <c r="C38" s="1" t="s">
        <v>8</v>
      </c>
      <c r="D38" s="1" t="s">
        <v>19</v>
      </c>
      <c r="E38" s="2">
        <v>28</v>
      </c>
      <c r="F38" s="2">
        <v>5</v>
      </c>
      <c r="G38" s="3">
        <v>45445</v>
      </c>
    </row>
    <row r="39" spans="1:7">
      <c r="A39" s="2">
        <v>4038</v>
      </c>
      <c r="B39" s="1" t="s">
        <v>72</v>
      </c>
      <c r="C39" s="1" t="s">
        <v>11</v>
      </c>
      <c r="D39" s="1" t="s">
        <v>22</v>
      </c>
      <c r="E39" s="2">
        <v>24</v>
      </c>
      <c r="F39" s="2">
        <v>8</v>
      </c>
      <c r="G39" s="3">
        <v>45475</v>
      </c>
    </row>
    <row r="40" spans="1:7">
      <c r="A40" s="2">
        <v>4039</v>
      </c>
      <c r="B40" s="1" t="s">
        <v>73</v>
      </c>
      <c r="C40" s="1" t="s">
        <v>14</v>
      </c>
      <c r="D40" s="1" t="s">
        <v>9</v>
      </c>
      <c r="E40" s="2">
        <v>16</v>
      </c>
      <c r="F40" s="2">
        <v>50</v>
      </c>
      <c r="G40" s="3">
        <v>45506</v>
      </c>
    </row>
    <row r="41" spans="1:7">
      <c r="A41" s="2">
        <v>4040</v>
      </c>
      <c r="B41" s="1" t="s">
        <v>74</v>
      </c>
      <c r="C41" s="1" t="s">
        <v>17</v>
      </c>
      <c r="D41" s="1" t="s">
        <v>12</v>
      </c>
      <c r="E41" s="2">
        <v>27</v>
      </c>
      <c r="F41" s="2">
        <v>10</v>
      </c>
      <c r="G41" s="3">
        <v>45537</v>
      </c>
    </row>
    <row r="42" spans="1:7">
      <c r="A42" s="2">
        <v>4041</v>
      </c>
      <c r="B42" s="1" t="s">
        <v>75</v>
      </c>
      <c r="C42" s="1" t="s">
        <v>8</v>
      </c>
      <c r="D42" s="1" t="s">
        <v>15</v>
      </c>
      <c r="E42" s="2">
        <v>21</v>
      </c>
      <c r="F42" s="2">
        <v>25</v>
      </c>
      <c r="G42" s="3">
        <v>45567</v>
      </c>
    </row>
    <row r="43" spans="1:7">
      <c r="A43" s="2">
        <v>4042</v>
      </c>
      <c r="B43" s="1" t="s">
        <v>76</v>
      </c>
      <c r="C43" s="1" t="s">
        <v>11</v>
      </c>
      <c r="D43" s="1" t="s">
        <v>19</v>
      </c>
      <c r="E43" s="2">
        <v>30</v>
      </c>
      <c r="F43" s="2">
        <v>5</v>
      </c>
      <c r="G43" s="3">
        <v>45598</v>
      </c>
    </row>
    <row r="44" spans="1:7">
      <c r="A44" s="2">
        <v>4043</v>
      </c>
      <c r="B44" s="1" t="s">
        <v>77</v>
      </c>
      <c r="C44" s="1" t="s">
        <v>14</v>
      </c>
      <c r="D44" s="1" t="s">
        <v>22</v>
      </c>
      <c r="E44" s="2">
        <v>26</v>
      </c>
      <c r="F44" s="2">
        <v>8</v>
      </c>
      <c r="G44" s="3">
        <v>45628</v>
      </c>
    </row>
    <row r="45" spans="1:7">
      <c r="A45" s="2">
        <v>4044</v>
      </c>
      <c r="B45" s="1" t="s">
        <v>78</v>
      </c>
      <c r="C45" s="1" t="s">
        <v>17</v>
      </c>
      <c r="D45" s="1" t="s">
        <v>9</v>
      </c>
      <c r="E45" s="2">
        <v>14</v>
      </c>
      <c r="F45" s="2">
        <v>50</v>
      </c>
      <c r="G45" s="2" t="s">
        <v>79</v>
      </c>
    </row>
    <row r="46" spans="1:7">
      <c r="A46" s="2">
        <v>4045</v>
      </c>
      <c r="B46" s="1" t="s">
        <v>80</v>
      </c>
      <c r="C46" s="1" t="s">
        <v>8</v>
      </c>
      <c r="D46" s="1" t="s">
        <v>12</v>
      </c>
      <c r="E46" s="2">
        <v>20</v>
      </c>
      <c r="F46" s="2">
        <v>10</v>
      </c>
      <c r="G46" s="2" t="s">
        <v>81</v>
      </c>
    </row>
    <row r="47" spans="1:7">
      <c r="A47" s="2">
        <v>4046</v>
      </c>
      <c r="B47" s="1" t="s">
        <v>82</v>
      </c>
      <c r="C47" s="1" t="s">
        <v>11</v>
      </c>
      <c r="D47" s="1" t="s">
        <v>15</v>
      </c>
      <c r="E47" s="2">
        <v>17</v>
      </c>
      <c r="F47" s="2">
        <v>25</v>
      </c>
      <c r="G47" s="2" t="s">
        <v>83</v>
      </c>
    </row>
    <row r="48" spans="1:7">
      <c r="A48" s="2">
        <v>4047</v>
      </c>
      <c r="B48" s="1" t="s">
        <v>84</v>
      </c>
      <c r="C48" s="1" t="s">
        <v>14</v>
      </c>
      <c r="D48" s="1" t="s">
        <v>19</v>
      </c>
      <c r="E48" s="2">
        <v>19</v>
      </c>
      <c r="F48" s="2">
        <v>5</v>
      </c>
      <c r="G48" s="2" t="s">
        <v>85</v>
      </c>
    </row>
    <row r="49" spans="1:7">
      <c r="A49" s="2">
        <v>4048</v>
      </c>
      <c r="B49" s="1" t="s">
        <v>86</v>
      </c>
      <c r="C49" s="1" t="s">
        <v>17</v>
      </c>
      <c r="D49" s="1" t="s">
        <v>22</v>
      </c>
      <c r="E49" s="2">
        <v>32</v>
      </c>
      <c r="F49" s="2">
        <v>8</v>
      </c>
      <c r="G49" s="2" t="s">
        <v>87</v>
      </c>
    </row>
    <row r="50" spans="1:7">
      <c r="A50" s="2">
        <v>4049</v>
      </c>
      <c r="B50" s="1" t="s">
        <v>88</v>
      </c>
      <c r="C50" s="1" t="s">
        <v>8</v>
      </c>
      <c r="D50" s="1" t="s">
        <v>9</v>
      </c>
      <c r="E50" s="2">
        <v>12</v>
      </c>
      <c r="F50" s="2">
        <v>50</v>
      </c>
      <c r="G50" s="2" t="s">
        <v>89</v>
      </c>
    </row>
    <row r="51" spans="1:7">
      <c r="A51" s="2">
        <v>4050</v>
      </c>
      <c r="B51" s="1" t="s">
        <v>90</v>
      </c>
      <c r="C51" s="1" t="s">
        <v>11</v>
      </c>
      <c r="D51" s="1" t="s">
        <v>12</v>
      </c>
      <c r="E51" s="2">
        <v>25</v>
      </c>
      <c r="F51" s="2">
        <v>10</v>
      </c>
      <c r="G51" s="2" t="s">
        <v>91</v>
      </c>
    </row>
    <row r="52" spans="1:7">
      <c r="A52" s="2">
        <v>4051</v>
      </c>
      <c r="B52" s="1" t="s">
        <v>7</v>
      </c>
      <c r="C52" s="1" t="s">
        <v>8</v>
      </c>
      <c r="D52" s="1" t="s">
        <v>15</v>
      </c>
      <c r="E52" s="2">
        <v>18</v>
      </c>
      <c r="F52" s="2">
        <v>25</v>
      </c>
      <c r="G52" s="2" t="s">
        <v>92</v>
      </c>
    </row>
    <row r="53" spans="1:7">
      <c r="A53" s="2">
        <v>4052</v>
      </c>
      <c r="B53" s="1" t="s">
        <v>10</v>
      </c>
      <c r="C53" s="1" t="s">
        <v>11</v>
      </c>
      <c r="D53" s="1" t="s">
        <v>9</v>
      </c>
      <c r="E53" s="2">
        <v>14</v>
      </c>
      <c r="F53" s="2">
        <v>50</v>
      </c>
      <c r="G53" s="2" t="s">
        <v>93</v>
      </c>
    </row>
    <row r="54" spans="1:7">
      <c r="A54" s="2">
        <v>4053</v>
      </c>
      <c r="B54" s="1" t="s">
        <v>13</v>
      </c>
      <c r="C54" s="1" t="s">
        <v>14</v>
      </c>
      <c r="D54" s="1" t="s">
        <v>12</v>
      </c>
      <c r="E54" s="2">
        <v>22</v>
      </c>
      <c r="F54" s="2">
        <v>10</v>
      </c>
      <c r="G54" s="2" t="s">
        <v>94</v>
      </c>
    </row>
    <row r="55" spans="1:7">
      <c r="A55" s="2">
        <v>4054</v>
      </c>
      <c r="B55" s="1" t="s">
        <v>16</v>
      </c>
      <c r="C55" s="1" t="s">
        <v>17</v>
      </c>
      <c r="D55" s="1" t="s">
        <v>19</v>
      </c>
      <c r="E55" s="2">
        <v>26</v>
      </c>
      <c r="F55" s="2">
        <v>5</v>
      </c>
      <c r="G55" s="2" t="s">
        <v>95</v>
      </c>
    </row>
    <row r="56" spans="1:7">
      <c r="A56" s="2">
        <v>4055</v>
      </c>
      <c r="B56" s="1" t="s">
        <v>18</v>
      </c>
      <c r="C56" s="1" t="s">
        <v>8</v>
      </c>
      <c r="D56" s="1" t="s">
        <v>22</v>
      </c>
      <c r="E56" s="2">
        <v>28</v>
      </c>
      <c r="F56" s="2">
        <v>8</v>
      </c>
      <c r="G56" s="2" t="s">
        <v>96</v>
      </c>
    </row>
    <row r="57" spans="1:7">
      <c r="A57" s="2">
        <v>4056</v>
      </c>
      <c r="B57" s="1" t="s">
        <v>20</v>
      </c>
      <c r="C57" s="1" t="s">
        <v>11</v>
      </c>
      <c r="D57" s="1" t="s">
        <v>15</v>
      </c>
      <c r="E57" s="2">
        <v>16</v>
      </c>
      <c r="F57" s="2">
        <v>25</v>
      </c>
      <c r="G57" s="2" t="s">
        <v>97</v>
      </c>
    </row>
    <row r="58" spans="1:7">
      <c r="A58" s="2">
        <v>4057</v>
      </c>
      <c r="B58" s="1" t="s">
        <v>21</v>
      </c>
      <c r="C58" s="1" t="s">
        <v>14</v>
      </c>
      <c r="D58" s="1" t="s">
        <v>9</v>
      </c>
      <c r="E58" s="2">
        <v>20</v>
      </c>
      <c r="F58" s="2">
        <v>50</v>
      </c>
      <c r="G58" s="2" t="s">
        <v>98</v>
      </c>
    </row>
    <row r="59" spans="1:7">
      <c r="A59" s="2">
        <v>4058</v>
      </c>
      <c r="B59" s="1" t="s">
        <v>23</v>
      </c>
      <c r="C59" s="1" t="s">
        <v>17</v>
      </c>
      <c r="D59" s="1" t="s">
        <v>12</v>
      </c>
      <c r="E59" s="2">
        <v>18</v>
      </c>
      <c r="F59" s="2">
        <v>10</v>
      </c>
      <c r="G59" s="2" t="s">
        <v>99</v>
      </c>
    </row>
    <row r="60" spans="1:7">
      <c r="A60" s="2">
        <v>4059</v>
      </c>
      <c r="B60" s="1" t="s">
        <v>24</v>
      </c>
      <c r="C60" s="1" t="s">
        <v>8</v>
      </c>
      <c r="D60" s="1" t="s">
        <v>19</v>
      </c>
      <c r="E60" s="2">
        <v>24</v>
      </c>
      <c r="F60" s="2">
        <v>5</v>
      </c>
      <c r="G60" s="2" t="s">
        <v>100</v>
      </c>
    </row>
    <row r="61" spans="1:7">
      <c r="A61" s="2">
        <v>4060</v>
      </c>
      <c r="B61" s="1" t="s">
        <v>25</v>
      </c>
      <c r="C61" s="1" t="s">
        <v>11</v>
      </c>
      <c r="D61" s="1" t="s">
        <v>22</v>
      </c>
      <c r="E61" s="2">
        <v>30</v>
      </c>
      <c r="F61" s="2">
        <v>8</v>
      </c>
      <c r="G61" s="2" t="s">
        <v>101</v>
      </c>
    </row>
    <row r="62" spans="1:7">
      <c r="A62" s="2">
        <v>4061</v>
      </c>
      <c r="B62" s="1" t="s">
        <v>26</v>
      </c>
      <c r="C62" s="1" t="s">
        <v>14</v>
      </c>
      <c r="D62" s="1" t="s">
        <v>9</v>
      </c>
      <c r="E62" s="2">
        <v>12</v>
      </c>
      <c r="F62" s="2">
        <v>50</v>
      </c>
      <c r="G62" s="3">
        <v>45294</v>
      </c>
    </row>
    <row r="63" spans="1:7">
      <c r="A63" s="2">
        <v>4062</v>
      </c>
      <c r="B63" s="1" t="s">
        <v>27</v>
      </c>
      <c r="C63" s="1" t="s">
        <v>17</v>
      </c>
      <c r="D63" s="1" t="s">
        <v>15</v>
      </c>
      <c r="E63" s="2">
        <v>15</v>
      </c>
      <c r="F63" s="2">
        <v>25</v>
      </c>
      <c r="G63" s="3">
        <v>45325</v>
      </c>
    </row>
    <row r="64" spans="1:7">
      <c r="A64" s="2">
        <v>4063</v>
      </c>
      <c r="B64" s="1" t="s">
        <v>28</v>
      </c>
      <c r="C64" s="1" t="s">
        <v>8</v>
      </c>
      <c r="D64" s="1" t="s">
        <v>12</v>
      </c>
      <c r="E64" s="2">
        <v>20</v>
      </c>
      <c r="F64" s="2">
        <v>10</v>
      </c>
      <c r="G64" s="3">
        <v>45354</v>
      </c>
    </row>
    <row r="65" spans="1:7">
      <c r="A65" s="2">
        <v>4064</v>
      </c>
      <c r="B65" s="1" t="s">
        <v>30</v>
      </c>
      <c r="C65" s="1" t="s">
        <v>11</v>
      </c>
      <c r="D65" s="1" t="s">
        <v>19</v>
      </c>
      <c r="E65" s="2">
        <v>22</v>
      </c>
      <c r="F65" s="2">
        <v>5</v>
      </c>
      <c r="G65" s="3">
        <v>45385</v>
      </c>
    </row>
    <row r="66" spans="1:7">
      <c r="A66" s="2">
        <v>4065</v>
      </c>
      <c r="B66" s="1" t="s">
        <v>32</v>
      </c>
      <c r="C66" s="1" t="s">
        <v>14</v>
      </c>
      <c r="D66" s="1" t="s">
        <v>22</v>
      </c>
      <c r="E66" s="2">
        <v>26</v>
      </c>
      <c r="F66" s="2">
        <v>8</v>
      </c>
      <c r="G66" s="3">
        <v>45415</v>
      </c>
    </row>
    <row r="67" spans="1:7">
      <c r="A67" s="2">
        <v>4066</v>
      </c>
      <c r="B67" s="1" t="s">
        <v>34</v>
      </c>
      <c r="C67" s="1" t="s">
        <v>17</v>
      </c>
      <c r="D67" s="1" t="s">
        <v>9</v>
      </c>
      <c r="E67" s="2">
        <v>18</v>
      </c>
      <c r="F67" s="2">
        <v>50</v>
      </c>
      <c r="G67" s="3">
        <v>45446</v>
      </c>
    </row>
    <row r="68" spans="1:7">
      <c r="A68" s="2">
        <v>4067</v>
      </c>
      <c r="B68" s="1" t="s">
        <v>36</v>
      </c>
      <c r="C68" s="1" t="s">
        <v>8</v>
      </c>
      <c r="D68" s="1" t="s">
        <v>15</v>
      </c>
      <c r="E68" s="2">
        <v>14</v>
      </c>
      <c r="F68" s="2">
        <v>25</v>
      </c>
      <c r="G68" s="3">
        <v>45476</v>
      </c>
    </row>
    <row r="69" spans="1:7">
      <c r="A69" s="2">
        <v>4068</v>
      </c>
      <c r="B69" s="1" t="s">
        <v>38</v>
      </c>
      <c r="C69" s="1" t="s">
        <v>11</v>
      </c>
      <c r="D69" s="1" t="s">
        <v>12</v>
      </c>
      <c r="E69" s="2">
        <v>28</v>
      </c>
      <c r="F69" s="2">
        <v>10</v>
      </c>
      <c r="G69" s="3">
        <v>45507</v>
      </c>
    </row>
    <row r="70" spans="1:7">
      <c r="A70" s="2">
        <v>4069</v>
      </c>
      <c r="B70" s="1" t="s">
        <v>40</v>
      </c>
      <c r="C70" s="1" t="s">
        <v>14</v>
      </c>
      <c r="D70" s="1" t="s">
        <v>19</v>
      </c>
      <c r="E70" s="2">
        <v>32</v>
      </c>
      <c r="F70" s="2">
        <v>5</v>
      </c>
      <c r="G70" s="3">
        <v>45538</v>
      </c>
    </row>
    <row r="71" spans="1:7">
      <c r="A71" s="2">
        <v>4070</v>
      </c>
      <c r="B71" s="1" t="s">
        <v>42</v>
      </c>
      <c r="C71" s="1" t="s">
        <v>17</v>
      </c>
      <c r="D71" s="1" t="s">
        <v>22</v>
      </c>
      <c r="E71" s="2">
        <v>24</v>
      </c>
      <c r="F71" s="2">
        <v>8</v>
      </c>
      <c r="G71" s="3">
        <v>45568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5295-129D-44CD-8583-17563A261ACB}">
  <dimension ref="A1:G71"/>
  <sheetViews>
    <sheetView topLeftCell="A34" workbookViewId="0">
      <selection sqref="A1:G71"/>
    </sheetView>
  </sheetViews>
  <sheetFormatPr defaultColWidth="14.44140625" defaultRowHeight="14.4"/>
  <cols>
    <col min="2" max="2" width="15.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4001</v>
      </c>
      <c r="B2" s="1" t="s">
        <v>7</v>
      </c>
      <c r="C2" s="1" t="s">
        <v>8</v>
      </c>
      <c r="D2" s="1" t="s">
        <v>9</v>
      </c>
      <c r="E2" s="2">
        <v>10</v>
      </c>
      <c r="F2" s="2">
        <v>50</v>
      </c>
      <c r="G2" s="3">
        <v>45292</v>
      </c>
    </row>
    <row r="3" spans="1:7">
      <c r="A3" s="2">
        <v>4002</v>
      </c>
      <c r="B3" s="1" t="s">
        <v>10</v>
      </c>
      <c r="C3" s="1" t="s">
        <v>11</v>
      </c>
      <c r="D3" s="1" t="s">
        <v>12</v>
      </c>
      <c r="E3" s="2">
        <v>20</v>
      </c>
      <c r="F3" s="2">
        <v>10</v>
      </c>
      <c r="G3" s="3">
        <v>45323</v>
      </c>
    </row>
    <row r="4" spans="1:7">
      <c r="A4" s="2">
        <v>4003</v>
      </c>
      <c r="B4" s="1" t="s">
        <v>13</v>
      </c>
      <c r="C4" s="1" t="s">
        <v>14</v>
      </c>
      <c r="D4" s="1" t="s">
        <v>15</v>
      </c>
      <c r="E4" s="2">
        <v>15</v>
      </c>
      <c r="F4" s="2">
        <v>25</v>
      </c>
      <c r="G4" s="3">
        <v>45352</v>
      </c>
    </row>
    <row r="5" spans="1:7">
      <c r="A5" s="2">
        <v>4004</v>
      </c>
      <c r="B5" s="1" t="s">
        <v>16</v>
      </c>
      <c r="C5" s="1" t="s">
        <v>17</v>
      </c>
      <c r="D5" s="1" t="s">
        <v>9</v>
      </c>
      <c r="E5" s="2">
        <v>5</v>
      </c>
      <c r="F5" s="2">
        <v>50</v>
      </c>
      <c r="G5" s="3">
        <v>45383</v>
      </c>
    </row>
    <row r="6" spans="1:7">
      <c r="A6" s="2">
        <v>4005</v>
      </c>
      <c r="B6" s="1" t="s">
        <v>18</v>
      </c>
      <c r="C6" s="1" t="s">
        <v>8</v>
      </c>
      <c r="D6" s="1" t="s">
        <v>19</v>
      </c>
      <c r="E6" s="2">
        <v>30</v>
      </c>
      <c r="F6" s="2">
        <v>5</v>
      </c>
      <c r="G6" s="3">
        <v>45413</v>
      </c>
    </row>
    <row r="7" spans="1:7">
      <c r="A7" s="2">
        <v>4006</v>
      </c>
      <c r="B7" s="1" t="s">
        <v>20</v>
      </c>
      <c r="C7" s="1" t="s">
        <v>11</v>
      </c>
      <c r="D7" s="1" t="s">
        <v>9</v>
      </c>
      <c r="E7" s="2">
        <v>12</v>
      </c>
      <c r="F7" s="2">
        <v>50</v>
      </c>
      <c r="G7" s="3">
        <v>45444</v>
      </c>
    </row>
    <row r="8" spans="1:7">
      <c r="A8" s="2">
        <v>4007</v>
      </c>
      <c r="B8" s="1" t="s">
        <v>21</v>
      </c>
      <c r="C8" s="1" t="s">
        <v>14</v>
      </c>
      <c r="D8" s="1" t="s">
        <v>22</v>
      </c>
      <c r="E8" s="2">
        <v>25</v>
      </c>
      <c r="F8" s="2">
        <v>8</v>
      </c>
      <c r="G8" s="3">
        <v>45474</v>
      </c>
    </row>
    <row r="9" spans="1:7">
      <c r="A9" s="2">
        <v>4008</v>
      </c>
      <c r="B9" s="1" t="s">
        <v>23</v>
      </c>
      <c r="C9" s="1" t="s">
        <v>17</v>
      </c>
      <c r="D9" s="1" t="s">
        <v>12</v>
      </c>
      <c r="E9" s="2">
        <v>18</v>
      </c>
      <c r="F9" s="2">
        <v>10</v>
      </c>
      <c r="G9" s="3">
        <v>45505</v>
      </c>
    </row>
    <row r="10" spans="1:7">
      <c r="A10" s="2">
        <v>4009</v>
      </c>
      <c r="B10" s="1" t="s">
        <v>24</v>
      </c>
      <c r="C10" s="1" t="s">
        <v>8</v>
      </c>
      <c r="D10" s="1" t="s">
        <v>15</v>
      </c>
      <c r="E10" s="2">
        <v>22</v>
      </c>
      <c r="F10" s="2">
        <v>25</v>
      </c>
      <c r="G10" s="3">
        <v>45536</v>
      </c>
    </row>
    <row r="11" spans="1:7">
      <c r="A11" s="2">
        <v>4010</v>
      </c>
      <c r="B11" s="1" t="s">
        <v>25</v>
      </c>
      <c r="C11" s="1" t="s">
        <v>11</v>
      </c>
      <c r="D11" s="1" t="s">
        <v>9</v>
      </c>
      <c r="E11" s="2">
        <v>8</v>
      </c>
      <c r="F11" s="2">
        <v>50</v>
      </c>
      <c r="G11" s="3">
        <v>45566</v>
      </c>
    </row>
    <row r="12" spans="1:7">
      <c r="A12" s="2">
        <v>4011</v>
      </c>
      <c r="B12" s="1" t="s">
        <v>26</v>
      </c>
      <c r="C12" s="1" t="s">
        <v>14</v>
      </c>
      <c r="D12" s="1" t="s">
        <v>19</v>
      </c>
      <c r="E12" s="2">
        <v>40</v>
      </c>
      <c r="F12" s="2">
        <v>5</v>
      </c>
      <c r="G12" s="3">
        <v>45597</v>
      </c>
    </row>
    <row r="13" spans="1:7">
      <c r="A13" s="2">
        <v>4012</v>
      </c>
      <c r="B13" s="1" t="s">
        <v>27</v>
      </c>
      <c r="C13" s="1" t="s">
        <v>17</v>
      </c>
      <c r="D13" s="1" t="s">
        <v>22</v>
      </c>
      <c r="E13" s="2">
        <v>35</v>
      </c>
      <c r="F13" s="2">
        <v>8</v>
      </c>
      <c r="G13" s="3">
        <v>45627</v>
      </c>
    </row>
    <row r="14" spans="1:7">
      <c r="A14" s="2">
        <v>4013</v>
      </c>
      <c r="B14" s="1" t="s">
        <v>28</v>
      </c>
      <c r="C14" s="1" t="s">
        <v>8</v>
      </c>
      <c r="D14" s="1" t="s">
        <v>9</v>
      </c>
      <c r="E14" s="2">
        <v>14</v>
      </c>
      <c r="F14" s="2">
        <v>50</v>
      </c>
      <c r="G14" s="2" t="s">
        <v>29</v>
      </c>
    </row>
    <row r="15" spans="1:7">
      <c r="A15" s="2">
        <v>4014</v>
      </c>
      <c r="B15" s="1" t="s">
        <v>30</v>
      </c>
      <c r="C15" s="1" t="s">
        <v>11</v>
      </c>
      <c r="D15" s="1" t="s">
        <v>12</v>
      </c>
      <c r="E15" s="2">
        <v>28</v>
      </c>
      <c r="F15" s="2">
        <v>10</v>
      </c>
      <c r="G15" s="2" t="s">
        <v>31</v>
      </c>
    </row>
    <row r="16" spans="1:7">
      <c r="A16" s="2">
        <v>4015</v>
      </c>
      <c r="B16" s="1" t="s">
        <v>32</v>
      </c>
      <c r="C16" s="1" t="s">
        <v>14</v>
      </c>
      <c r="D16" s="1" t="s">
        <v>15</v>
      </c>
      <c r="E16" s="2">
        <v>12</v>
      </c>
      <c r="F16" s="2">
        <v>25</v>
      </c>
      <c r="G16" s="2" t="s">
        <v>33</v>
      </c>
    </row>
    <row r="17" spans="1:7">
      <c r="A17" s="2">
        <v>4016</v>
      </c>
      <c r="B17" s="1" t="s">
        <v>34</v>
      </c>
      <c r="C17" s="1" t="s">
        <v>17</v>
      </c>
      <c r="D17" s="1" t="s">
        <v>19</v>
      </c>
      <c r="E17" s="2">
        <v>25</v>
      </c>
      <c r="F17" s="2">
        <v>5</v>
      </c>
      <c r="G17" s="2" t="s">
        <v>35</v>
      </c>
    </row>
    <row r="18" spans="1:7">
      <c r="A18" s="2">
        <v>4017</v>
      </c>
      <c r="B18" s="1" t="s">
        <v>36</v>
      </c>
      <c r="C18" s="1" t="s">
        <v>8</v>
      </c>
      <c r="D18" s="1" t="s">
        <v>22</v>
      </c>
      <c r="E18" s="2">
        <v>20</v>
      </c>
      <c r="F18" s="2">
        <v>8</v>
      </c>
      <c r="G18" s="2" t="s">
        <v>37</v>
      </c>
    </row>
    <row r="19" spans="1:7">
      <c r="A19" s="2">
        <v>4018</v>
      </c>
      <c r="B19" s="1" t="s">
        <v>38</v>
      </c>
      <c r="C19" s="1" t="s">
        <v>11</v>
      </c>
      <c r="D19" s="1" t="s">
        <v>9</v>
      </c>
      <c r="E19" s="2">
        <v>10</v>
      </c>
      <c r="F19" s="2">
        <v>50</v>
      </c>
      <c r="G19" s="2" t="s">
        <v>39</v>
      </c>
    </row>
    <row r="20" spans="1:7">
      <c r="A20" s="2">
        <v>4019</v>
      </c>
      <c r="B20" s="1" t="s">
        <v>40</v>
      </c>
      <c r="C20" s="1" t="s">
        <v>14</v>
      </c>
      <c r="D20" s="1" t="s">
        <v>12</v>
      </c>
      <c r="E20" s="2">
        <v>15</v>
      </c>
      <c r="F20" s="2">
        <v>10</v>
      </c>
      <c r="G20" s="2" t="s">
        <v>41</v>
      </c>
    </row>
    <row r="21" spans="1:7">
      <c r="A21" s="2">
        <v>4020</v>
      </c>
      <c r="B21" s="1" t="s">
        <v>42</v>
      </c>
      <c r="C21" s="1" t="s">
        <v>17</v>
      </c>
      <c r="D21" s="1" t="s">
        <v>15</v>
      </c>
      <c r="E21" s="2">
        <v>18</v>
      </c>
      <c r="F21" s="2">
        <v>25</v>
      </c>
      <c r="G21" s="2" t="s">
        <v>43</v>
      </c>
    </row>
    <row r="22" spans="1:7">
      <c r="A22" s="2">
        <v>4021</v>
      </c>
      <c r="B22" s="1" t="s">
        <v>44</v>
      </c>
      <c r="C22" s="1" t="s">
        <v>8</v>
      </c>
      <c r="D22" s="1" t="s">
        <v>9</v>
      </c>
      <c r="E22" s="2">
        <v>9</v>
      </c>
      <c r="F22" s="2">
        <v>50</v>
      </c>
      <c r="G22" s="2" t="s">
        <v>45</v>
      </c>
    </row>
    <row r="23" spans="1:7">
      <c r="A23" s="2">
        <v>4022</v>
      </c>
      <c r="B23" s="1" t="s">
        <v>46</v>
      </c>
      <c r="C23" s="1" t="s">
        <v>11</v>
      </c>
      <c r="D23" s="1" t="s">
        <v>19</v>
      </c>
      <c r="E23" s="2">
        <v>35</v>
      </c>
      <c r="F23" s="2">
        <v>5</v>
      </c>
      <c r="G23" s="2" t="s">
        <v>47</v>
      </c>
    </row>
    <row r="24" spans="1:7">
      <c r="A24" s="2">
        <v>4023</v>
      </c>
      <c r="B24" s="1" t="s">
        <v>48</v>
      </c>
      <c r="C24" s="1" t="s">
        <v>14</v>
      </c>
      <c r="D24" s="1" t="s">
        <v>22</v>
      </c>
      <c r="E24" s="2">
        <v>30</v>
      </c>
      <c r="F24" s="2">
        <v>8</v>
      </c>
      <c r="G24" s="2" t="s">
        <v>49</v>
      </c>
    </row>
    <row r="25" spans="1:7">
      <c r="A25" s="2">
        <v>4024</v>
      </c>
      <c r="B25" s="1" t="s">
        <v>50</v>
      </c>
      <c r="C25" s="1" t="s">
        <v>17</v>
      </c>
      <c r="D25" s="1" t="s">
        <v>9</v>
      </c>
      <c r="E25" s="2">
        <v>11</v>
      </c>
      <c r="F25" s="2">
        <v>50</v>
      </c>
      <c r="G25" s="2" t="s">
        <v>51</v>
      </c>
    </row>
    <row r="26" spans="1:7">
      <c r="A26" s="2">
        <v>4025</v>
      </c>
      <c r="B26" s="1" t="s">
        <v>52</v>
      </c>
      <c r="C26" s="1" t="s">
        <v>8</v>
      </c>
      <c r="D26" s="1" t="s">
        <v>12</v>
      </c>
      <c r="E26" s="2">
        <v>14</v>
      </c>
      <c r="F26" s="2">
        <v>10</v>
      </c>
      <c r="G26" s="2" t="s">
        <v>53</v>
      </c>
    </row>
    <row r="27" spans="1:7">
      <c r="A27" s="2">
        <v>4026</v>
      </c>
      <c r="B27" s="1" t="s">
        <v>54</v>
      </c>
      <c r="C27" s="1" t="s">
        <v>11</v>
      </c>
      <c r="D27" s="1" t="s">
        <v>15</v>
      </c>
      <c r="E27" s="2">
        <v>16</v>
      </c>
      <c r="F27" s="2">
        <v>25</v>
      </c>
      <c r="G27" s="2" t="s">
        <v>55</v>
      </c>
    </row>
    <row r="28" spans="1:7">
      <c r="A28" s="2">
        <v>4027</v>
      </c>
      <c r="B28" s="1" t="s">
        <v>56</v>
      </c>
      <c r="C28" s="1" t="s">
        <v>14</v>
      </c>
      <c r="D28" s="1" t="s">
        <v>19</v>
      </c>
      <c r="E28" s="2">
        <v>22</v>
      </c>
      <c r="F28" s="2">
        <v>5</v>
      </c>
      <c r="G28" s="2" t="s">
        <v>57</v>
      </c>
    </row>
    <row r="29" spans="1:7">
      <c r="A29" s="2">
        <v>4028</v>
      </c>
      <c r="B29" s="1" t="s">
        <v>58</v>
      </c>
      <c r="C29" s="1" t="s">
        <v>17</v>
      </c>
      <c r="D29" s="1" t="s">
        <v>22</v>
      </c>
      <c r="E29" s="2">
        <v>27</v>
      </c>
      <c r="F29" s="2">
        <v>8</v>
      </c>
      <c r="G29" s="2" t="s">
        <v>59</v>
      </c>
    </row>
    <row r="30" spans="1:7">
      <c r="A30" s="2">
        <v>4029</v>
      </c>
      <c r="B30" s="1" t="s">
        <v>60</v>
      </c>
      <c r="C30" s="1" t="s">
        <v>8</v>
      </c>
      <c r="D30" s="1" t="s">
        <v>9</v>
      </c>
      <c r="E30" s="2">
        <v>13</v>
      </c>
      <c r="F30" s="2">
        <v>50</v>
      </c>
      <c r="G30" s="2" t="s">
        <v>61</v>
      </c>
    </row>
    <row r="31" spans="1:7">
      <c r="A31" s="2">
        <v>4030</v>
      </c>
      <c r="B31" s="1" t="s">
        <v>62</v>
      </c>
      <c r="C31" s="1" t="s">
        <v>11</v>
      </c>
      <c r="D31" s="1" t="s">
        <v>12</v>
      </c>
      <c r="E31" s="2">
        <v>32</v>
      </c>
      <c r="F31" s="2">
        <v>10</v>
      </c>
      <c r="G31" s="2" t="s">
        <v>63</v>
      </c>
    </row>
    <row r="32" spans="1:7">
      <c r="A32" s="2">
        <v>4031</v>
      </c>
      <c r="B32" s="1" t="s">
        <v>64</v>
      </c>
      <c r="C32" s="1" t="s">
        <v>14</v>
      </c>
      <c r="D32" s="1" t="s">
        <v>15</v>
      </c>
      <c r="E32" s="2">
        <v>10</v>
      </c>
      <c r="F32" s="2">
        <v>25</v>
      </c>
      <c r="G32" s="2" t="s">
        <v>65</v>
      </c>
    </row>
    <row r="33" spans="1:7">
      <c r="A33" s="2">
        <v>4032</v>
      </c>
      <c r="B33" s="1" t="s">
        <v>66</v>
      </c>
      <c r="C33" s="1" t="s">
        <v>17</v>
      </c>
      <c r="D33" s="1" t="s">
        <v>19</v>
      </c>
      <c r="E33" s="2">
        <v>18</v>
      </c>
      <c r="F33" s="2">
        <v>5</v>
      </c>
      <c r="G33" s="3">
        <v>45293</v>
      </c>
    </row>
    <row r="34" spans="1:7">
      <c r="A34" s="2">
        <v>4033</v>
      </c>
      <c r="B34" s="1" t="s">
        <v>67</v>
      </c>
      <c r="C34" s="1" t="s">
        <v>8</v>
      </c>
      <c r="D34" s="1" t="s">
        <v>22</v>
      </c>
      <c r="E34" s="2">
        <v>22</v>
      </c>
      <c r="F34" s="2">
        <v>8</v>
      </c>
      <c r="G34" s="3">
        <v>45324</v>
      </c>
    </row>
    <row r="35" spans="1:7">
      <c r="A35" s="2">
        <v>4034</v>
      </c>
      <c r="B35" s="1" t="s">
        <v>68</v>
      </c>
      <c r="C35" s="1" t="s">
        <v>11</v>
      </c>
      <c r="D35" s="1" t="s">
        <v>9</v>
      </c>
      <c r="E35" s="2">
        <v>17</v>
      </c>
      <c r="F35" s="2">
        <v>50</v>
      </c>
      <c r="G35" s="3">
        <v>45353</v>
      </c>
    </row>
    <row r="36" spans="1:7">
      <c r="A36" s="2">
        <v>4035</v>
      </c>
      <c r="B36" s="1" t="s">
        <v>69</v>
      </c>
      <c r="C36" s="1" t="s">
        <v>14</v>
      </c>
      <c r="D36" s="1" t="s">
        <v>12</v>
      </c>
      <c r="E36" s="2">
        <v>19</v>
      </c>
      <c r="F36" s="2">
        <v>10</v>
      </c>
      <c r="G36" s="3">
        <v>45384</v>
      </c>
    </row>
    <row r="37" spans="1:7">
      <c r="A37" s="2">
        <v>4036</v>
      </c>
      <c r="B37" s="1" t="s">
        <v>70</v>
      </c>
      <c r="C37" s="1" t="s">
        <v>17</v>
      </c>
      <c r="D37" s="1" t="s">
        <v>15</v>
      </c>
      <c r="E37" s="2">
        <v>15</v>
      </c>
      <c r="F37" s="2">
        <v>25</v>
      </c>
      <c r="G37" s="3">
        <v>45414</v>
      </c>
    </row>
    <row r="38" spans="1:7">
      <c r="A38" s="2">
        <v>4037</v>
      </c>
      <c r="B38" s="1" t="s">
        <v>71</v>
      </c>
      <c r="C38" s="1" t="s">
        <v>8</v>
      </c>
      <c r="D38" s="1" t="s">
        <v>19</v>
      </c>
      <c r="E38" s="2">
        <v>28</v>
      </c>
      <c r="F38" s="2">
        <v>5</v>
      </c>
      <c r="G38" s="3">
        <v>45445</v>
      </c>
    </row>
    <row r="39" spans="1:7">
      <c r="A39" s="2">
        <v>4038</v>
      </c>
      <c r="B39" s="1" t="s">
        <v>72</v>
      </c>
      <c r="C39" s="1" t="s">
        <v>11</v>
      </c>
      <c r="D39" s="1" t="s">
        <v>22</v>
      </c>
      <c r="E39" s="2">
        <v>24</v>
      </c>
      <c r="F39" s="2">
        <v>8</v>
      </c>
      <c r="G39" s="3">
        <v>45475</v>
      </c>
    </row>
    <row r="40" spans="1:7">
      <c r="A40" s="2">
        <v>4039</v>
      </c>
      <c r="B40" s="1" t="s">
        <v>73</v>
      </c>
      <c r="C40" s="1" t="s">
        <v>14</v>
      </c>
      <c r="D40" s="1" t="s">
        <v>9</v>
      </c>
      <c r="E40" s="2">
        <v>16</v>
      </c>
      <c r="F40" s="2">
        <v>50</v>
      </c>
      <c r="G40" s="3">
        <v>45506</v>
      </c>
    </row>
    <row r="41" spans="1:7">
      <c r="A41" s="2">
        <v>4040</v>
      </c>
      <c r="B41" s="1" t="s">
        <v>74</v>
      </c>
      <c r="C41" s="1" t="s">
        <v>17</v>
      </c>
      <c r="D41" s="1" t="s">
        <v>12</v>
      </c>
      <c r="E41" s="2">
        <v>27</v>
      </c>
      <c r="F41" s="2">
        <v>10</v>
      </c>
      <c r="G41" s="3">
        <v>45537</v>
      </c>
    </row>
    <row r="42" spans="1:7">
      <c r="A42" s="2">
        <v>4041</v>
      </c>
      <c r="B42" s="1" t="s">
        <v>75</v>
      </c>
      <c r="C42" s="1" t="s">
        <v>8</v>
      </c>
      <c r="D42" s="1" t="s">
        <v>15</v>
      </c>
      <c r="E42" s="2">
        <v>21</v>
      </c>
      <c r="F42" s="2">
        <v>25</v>
      </c>
      <c r="G42" s="3">
        <v>45567</v>
      </c>
    </row>
    <row r="43" spans="1:7">
      <c r="A43" s="2">
        <v>4042</v>
      </c>
      <c r="B43" s="1" t="s">
        <v>76</v>
      </c>
      <c r="C43" s="1" t="s">
        <v>11</v>
      </c>
      <c r="D43" s="1" t="s">
        <v>19</v>
      </c>
      <c r="E43" s="2">
        <v>30</v>
      </c>
      <c r="F43" s="2">
        <v>5</v>
      </c>
      <c r="G43" s="3">
        <v>45598</v>
      </c>
    </row>
    <row r="44" spans="1:7">
      <c r="A44" s="2">
        <v>4043</v>
      </c>
      <c r="B44" s="1" t="s">
        <v>77</v>
      </c>
      <c r="C44" s="1" t="s">
        <v>14</v>
      </c>
      <c r="D44" s="1" t="s">
        <v>22</v>
      </c>
      <c r="E44" s="2">
        <v>26</v>
      </c>
      <c r="F44" s="2">
        <v>8</v>
      </c>
      <c r="G44" s="3">
        <v>45628</v>
      </c>
    </row>
    <row r="45" spans="1:7">
      <c r="A45" s="2">
        <v>4044</v>
      </c>
      <c r="B45" s="1" t="s">
        <v>78</v>
      </c>
      <c r="C45" s="1" t="s">
        <v>17</v>
      </c>
      <c r="D45" s="1" t="s">
        <v>9</v>
      </c>
      <c r="E45" s="2">
        <v>14</v>
      </c>
      <c r="F45" s="2">
        <v>50</v>
      </c>
      <c r="G45" s="2" t="s">
        <v>79</v>
      </c>
    </row>
    <row r="46" spans="1:7">
      <c r="A46" s="2">
        <v>4045</v>
      </c>
      <c r="B46" s="1" t="s">
        <v>80</v>
      </c>
      <c r="C46" s="1" t="s">
        <v>8</v>
      </c>
      <c r="D46" s="1" t="s">
        <v>12</v>
      </c>
      <c r="E46" s="2">
        <v>20</v>
      </c>
      <c r="F46" s="2">
        <v>10</v>
      </c>
      <c r="G46" s="2" t="s">
        <v>81</v>
      </c>
    </row>
    <row r="47" spans="1:7">
      <c r="A47" s="2">
        <v>4046</v>
      </c>
      <c r="B47" s="1" t="s">
        <v>82</v>
      </c>
      <c r="C47" s="1" t="s">
        <v>11</v>
      </c>
      <c r="D47" s="1" t="s">
        <v>15</v>
      </c>
      <c r="E47" s="2">
        <v>17</v>
      </c>
      <c r="F47" s="2">
        <v>25</v>
      </c>
      <c r="G47" s="2" t="s">
        <v>83</v>
      </c>
    </row>
    <row r="48" spans="1:7">
      <c r="A48" s="2">
        <v>4047</v>
      </c>
      <c r="B48" s="1" t="s">
        <v>84</v>
      </c>
      <c r="C48" s="1" t="s">
        <v>14</v>
      </c>
      <c r="D48" s="1" t="s">
        <v>19</v>
      </c>
      <c r="E48" s="2">
        <v>19</v>
      </c>
      <c r="F48" s="2">
        <v>5</v>
      </c>
      <c r="G48" s="2" t="s">
        <v>85</v>
      </c>
    </row>
    <row r="49" spans="1:7">
      <c r="A49" s="2">
        <v>4048</v>
      </c>
      <c r="B49" s="1" t="s">
        <v>86</v>
      </c>
      <c r="C49" s="1" t="s">
        <v>17</v>
      </c>
      <c r="D49" s="1" t="s">
        <v>22</v>
      </c>
      <c r="E49" s="2">
        <v>32</v>
      </c>
      <c r="F49" s="2">
        <v>8</v>
      </c>
      <c r="G49" s="2" t="s">
        <v>87</v>
      </c>
    </row>
    <row r="50" spans="1:7">
      <c r="A50" s="2">
        <v>4049</v>
      </c>
      <c r="B50" s="1" t="s">
        <v>88</v>
      </c>
      <c r="C50" s="1" t="s">
        <v>8</v>
      </c>
      <c r="D50" s="1" t="s">
        <v>9</v>
      </c>
      <c r="E50" s="2">
        <v>12</v>
      </c>
      <c r="F50" s="2">
        <v>50</v>
      </c>
      <c r="G50" s="2" t="s">
        <v>89</v>
      </c>
    </row>
    <row r="51" spans="1:7">
      <c r="A51" s="2">
        <v>4050</v>
      </c>
      <c r="B51" s="1" t="s">
        <v>90</v>
      </c>
      <c r="C51" s="1" t="s">
        <v>11</v>
      </c>
      <c r="D51" s="1" t="s">
        <v>12</v>
      </c>
      <c r="E51" s="2">
        <v>25</v>
      </c>
      <c r="F51" s="2">
        <v>10</v>
      </c>
      <c r="G51" s="2" t="s">
        <v>91</v>
      </c>
    </row>
    <row r="52" spans="1:7">
      <c r="A52" s="2">
        <v>4051</v>
      </c>
      <c r="B52" s="1" t="s">
        <v>7</v>
      </c>
      <c r="C52" s="1" t="s">
        <v>8</v>
      </c>
      <c r="D52" s="1" t="s">
        <v>15</v>
      </c>
      <c r="E52" s="2">
        <v>18</v>
      </c>
      <c r="F52" s="2">
        <v>25</v>
      </c>
      <c r="G52" s="2" t="s">
        <v>92</v>
      </c>
    </row>
    <row r="53" spans="1:7">
      <c r="A53" s="2">
        <v>4052</v>
      </c>
      <c r="B53" s="1" t="s">
        <v>10</v>
      </c>
      <c r="C53" s="1" t="s">
        <v>11</v>
      </c>
      <c r="D53" s="1" t="s">
        <v>9</v>
      </c>
      <c r="E53" s="2">
        <v>14</v>
      </c>
      <c r="F53" s="2">
        <v>50</v>
      </c>
      <c r="G53" s="2" t="s">
        <v>93</v>
      </c>
    </row>
    <row r="54" spans="1:7">
      <c r="A54" s="2">
        <v>4053</v>
      </c>
      <c r="B54" s="1" t="s">
        <v>13</v>
      </c>
      <c r="C54" s="1" t="s">
        <v>14</v>
      </c>
      <c r="D54" s="1" t="s">
        <v>12</v>
      </c>
      <c r="E54" s="2">
        <v>22</v>
      </c>
      <c r="F54" s="2">
        <v>10</v>
      </c>
      <c r="G54" s="2" t="s">
        <v>94</v>
      </c>
    </row>
    <row r="55" spans="1:7">
      <c r="A55" s="2">
        <v>4054</v>
      </c>
      <c r="B55" s="1" t="s">
        <v>16</v>
      </c>
      <c r="C55" s="1" t="s">
        <v>17</v>
      </c>
      <c r="D55" s="1" t="s">
        <v>19</v>
      </c>
      <c r="E55" s="2">
        <v>26</v>
      </c>
      <c r="F55" s="2">
        <v>5</v>
      </c>
      <c r="G55" s="2" t="s">
        <v>95</v>
      </c>
    </row>
    <row r="56" spans="1:7">
      <c r="A56" s="2">
        <v>4055</v>
      </c>
      <c r="B56" s="1" t="s">
        <v>18</v>
      </c>
      <c r="C56" s="1" t="s">
        <v>8</v>
      </c>
      <c r="D56" s="1" t="s">
        <v>22</v>
      </c>
      <c r="E56" s="2">
        <v>28</v>
      </c>
      <c r="F56" s="2">
        <v>8</v>
      </c>
      <c r="G56" s="2" t="s">
        <v>96</v>
      </c>
    </row>
    <row r="57" spans="1:7">
      <c r="A57" s="2">
        <v>4056</v>
      </c>
      <c r="B57" s="1" t="s">
        <v>20</v>
      </c>
      <c r="C57" s="1" t="s">
        <v>11</v>
      </c>
      <c r="D57" s="1" t="s">
        <v>15</v>
      </c>
      <c r="E57" s="2">
        <v>16</v>
      </c>
      <c r="F57" s="2">
        <v>25</v>
      </c>
      <c r="G57" s="2" t="s">
        <v>97</v>
      </c>
    </row>
    <row r="58" spans="1:7">
      <c r="A58" s="2">
        <v>4057</v>
      </c>
      <c r="B58" s="1" t="s">
        <v>21</v>
      </c>
      <c r="C58" s="1" t="s">
        <v>14</v>
      </c>
      <c r="D58" s="1" t="s">
        <v>9</v>
      </c>
      <c r="E58" s="2">
        <v>20</v>
      </c>
      <c r="F58" s="2">
        <v>50</v>
      </c>
      <c r="G58" s="2" t="s">
        <v>98</v>
      </c>
    </row>
    <row r="59" spans="1:7">
      <c r="A59" s="2">
        <v>4058</v>
      </c>
      <c r="B59" s="1" t="s">
        <v>23</v>
      </c>
      <c r="C59" s="1" t="s">
        <v>17</v>
      </c>
      <c r="D59" s="1" t="s">
        <v>12</v>
      </c>
      <c r="E59" s="2">
        <v>18</v>
      </c>
      <c r="F59" s="2">
        <v>10</v>
      </c>
      <c r="G59" s="2" t="s">
        <v>99</v>
      </c>
    </row>
    <row r="60" spans="1:7">
      <c r="A60" s="2">
        <v>4059</v>
      </c>
      <c r="B60" s="1" t="s">
        <v>24</v>
      </c>
      <c r="C60" s="1" t="s">
        <v>8</v>
      </c>
      <c r="D60" s="1" t="s">
        <v>19</v>
      </c>
      <c r="E60" s="2">
        <v>24</v>
      </c>
      <c r="F60" s="2">
        <v>5</v>
      </c>
      <c r="G60" s="2" t="s">
        <v>100</v>
      </c>
    </row>
    <row r="61" spans="1:7">
      <c r="A61" s="2">
        <v>4060</v>
      </c>
      <c r="B61" s="1" t="s">
        <v>25</v>
      </c>
      <c r="C61" s="1" t="s">
        <v>11</v>
      </c>
      <c r="D61" s="1" t="s">
        <v>22</v>
      </c>
      <c r="E61" s="2">
        <v>30</v>
      </c>
      <c r="F61" s="2">
        <v>8</v>
      </c>
      <c r="G61" s="2" t="s">
        <v>101</v>
      </c>
    </row>
    <row r="62" spans="1:7">
      <c r="A62" s="2">
        <v>4061</v>
      </c>
      <c r="B62" s="1" t="s">
        <v>26</v>
      </c>
      <c r="C62" s="1" t="s">
        <v>14</v>
      </c>
      <c r="D62" s="1" t="s">
        <v>9</v>
      </c>
      <c r="E62" s="2">
        <v>12</v>
      </c>
      <c r="F62" s="2">
        <v>50</v>
      </c>
      <c r="G62" s="3">
        <v>45294</v>
      </c>
    </row>
    <row r="63" spans="1:7">
      <c r="A63" s="2">
        <v>4062</v>
      </c>
      <c r="B63" s="1" t="s">
        <v>27</v>
      </c>
      <c r="C63" s="1" t="s">
        <v>17</v>
      </c>
      <c r="D63" s="1" t="s">
        <v>15</v>
      </c>
      <c r="E63" s="2">
        <v>15</v>
      </c>
      <c r="F63" s="2">
        <v>25</v>
      </c>
      <c r="G63" s="3">
        <v>45325</v>
      </c>
    </row>
    <row r="64" spans="1:7">
      <c r="A64" s="2">
        <v>4063</v>
      </c>
      <c r="B64" s="1" t="s">
        <v>28</v>
      </c>
      <c r="C64" s="1" t="s">
        <v>8</v>
      </c>
      <c r="D64" s="1" t="s">
        <v>12</v>
      </c>
      <c r="E64" s="2">
        <v>20</v>
      </c>
      <c r="F64" s="2">
        <v>10</v>
      </c>
      <c r="G64" s="3">
        <v>45354</v>
      </c>
    </row>
    <row r="65" spans="1:7">
      <c r="A65" s="2">
        <v>4064</v>
      </c>
      <c r="B65" s="1" t="s">
        <v>30</v>
      </c>
      <c r="C65" s="1" t="s">
        <v>11</v>
      </c>
      <c r="D65" s="1" t="s">
        <v>19</v>
      </c>
      <c r="E65" s="2">
        <v>22</v>
      </c>
      <c r="F65" s="2">
        <v>5</v>
      </c>
      <c r="G65" s="3">
        <v>45385</v>
      </c>
    </row>
    <row r="66" spans="1:7">
      <c r="A66" s="2">
        <v>4065</v>
      </c>
      <c r="B66" s="1" t="s">
        <v>32</v>
      </c>
      <c r="C66" s="1" t="s">
        <v>14</v>
      </c>
      <c r="D66" s="1" t="s">
        <v>22</v>
      </c>
      <c r="E66" s="2">
        <v>26</v>
      </c>
      <c r="F66" s="2">
        <v>8</v>
      </c>
      <c r="G66" s="3">
        <v>45415</v>
      </c>
    </row>
    <row r="67" spans="1:7">
      <c r="A67" s="2">
        <v>4066</v>
      </c>
      <c r="B67" s="1" t="s">
        <v>34</v>
      </c>
      <c r="C67" s="1" t="s">
        <v>17</v>
      </c>
      <c r="D67" s="1" t="s">
        <v>9</v>
      </c>
      <c r="E67" s="2">
        <v>18</v>
      </c>
      <c r="F67" s="2">
        <v>50</v>
      </c>
      <c r="G67" s="3">
        <v>45446</v>
      </c>
    </row>
    <row r="68" spans="1:7">
      <c r="A68" s="2">
        <v>4067</v>
      </c>
      <c r="B68" s="1" t="s">
        <v>36</v>
      </c>
      <c r="C68" s="1" t="s">
        <v>8</v>
      </c>
      <c r="D68" s="1" t="s">
        <v>15</v>
      </c>
      <c r="E68" s="2">
        <v>14</v>
      </c>
      <c r="F68" s="2">
        <v>25</v>
      </c>
      <c r="G68" s="3">
        <v>45476</v>
      </c>
    </row>
    <row r="69" spans="1:7">
      <c r="A69" s="2">
        <v>4068</v>
      </c>
      <c r="B69" s="1" t="s">
        <v>38</v>
      </c>
      <c r="C69" s="1" t="s">
        <v>11</v>
      </c>
      <c r="D69" s="1" t="s">
        <v>12</v>
      </c>
      <c r="E69" s="2">
        <v>28</v>
      </c>
      <c r="F69" s="2">
        <v>10</v>
      </c>
      <c r="G69" s="3">
        <v>45507</v>
      </c>
    </row>
    <row r="70" spans="1:7">
      <c r="A70" s="2">
        <v>4069</v>
      </c>
      <c r="B70" s="1" t="s">
        <v>40</v>
      </c>
      <c r="C70" s="1" t="s">
        <v>14</v>
      </c>
      <c r="D70" s="1" t="s">
        <v>19</v>
      </c>
      <c r="E70" s="2">
        <v>32</v>
      </c>
      <c r="F70" s="2">
        <v>5</v>
      </c>
      <c r="G70" s="3">
        <v>45538</v>
      </c>
    </row>
    <row r="71" spans="1:7">
      <c r="A71" s="2">
        <v>4070</v>
      </c>
      <c r="B71" s="1" t="s">
        <v>42</v>
      </c>
      <c r="C71" s="1" t="s">
        <v>17</v>
      </c>
      <c r="D71" s="1" t="s">
        <v>22</v>
      </c>
      <c r="E71" s="2">
        <v>24</v>
      </c>
      <c r="F71" s="2">
        <v>8</v>
      </c>
      <c r="G71" s="3">
        <v>45568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716E-FA83-47F1-9D47-884737A9B3C9}">
  <dimension ref="A1:H71"/>
  <sheetViews>
    <sheetView workbookViewId="0">
      <selection activeCell="D1" sqref="D1"/>
    </sheetView>
  </sheetViews>
  <sheetFormatPr defaultColWidth="14.44140625"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102</v>
      </c>
    </row>
    <row r="2" spans="1:8">
      <c r="A2" s="2">
        <v>4001</v>
      </c>
      <c r="B2" s="1" t="s">
        <v>7</v>
      </c>
      <c r="C2" s="1" t="s">
        <v>8</v>
      </c>
      <c r="D2" s="1" t="s">
        <v>9</v>
      </c>
      <c r="E2" s="2">
        <v>10</v>
      </c>
      <c r="F2" s="2">
        <v>50</v>
      </c>
      <c r="G2" s="3">
        <v>45292</v>
      </c>
      <c r="H2">
        <f>E2*F2</f>
        <v>500</v>
      </c>
    </row>
    <row r="3" spans="1:8">
      <c r="A3" s="2">
        <v>4002</v>
      </c>
      <c r="B3" s="1" t="s">
        <v>10</v>
      </c>
      <c r="C3" s="1" t="s">
        <v>11</v>
      </c>
      <c r="D3" s="1" t="s">
        <v>12</v>
      </c>
      <c r="E3" s="2">
        <v>20</v>
      </c>
      <c r="F3" s="2">
        <v>10</v>
      </c>
      <c r="G3" s="3">
        <v>45323</v>
      </c>
      <c r="H3">
        <f t="shared" ref="H3:H66" si="0">E3*F3</f>
        <v>200</v>
      </c>
    </row>
    <row r="4" spans="1:8">
      <c r="A4" s="2">
        <v>4003</v>
      </c>
      <c r="B4" s="1" t="s">
        <v>13</v>
      </c>
      <c r="C4" s="1" t="s">
        <v>14</v>
      </c>
      <c r="D4" s="1" t="s">
        <v>15</v>
      </c>
      <c r="E4" s="2">
        <v>15</v>
      </c>
      <c r="F4" s="2">
        <v>25</v>
      </c>
      <c r="G4" s="3">
        <v>45352</v>
      </c>
      <c r="H4">
        <f t="shared" si="0"/>
        <v>375</v>
      </c>
    </row>
    <row r="5" spans="1:8">
      <c r="A5" s="2">
        <v>4004</v>
      </c>
      <c r="B5" s="1" t="s">
        <v>16</v>
      </c>
      <c r="C5" s="1" t="s">
        <v>17</v>
      </c>
      <c r="D5" s="1" t="s">
        <v>9</v>
      </c>
      <c r="E5" s="2">
        <v>5</v>
      </c>
      <c r="F5" s="2">
        <v>50</v>
      </c>
      <c r="G5" s="3">
        <v>45383</v>
      </c>
      <c r="H5">
        <f t="shared" si="0"/>
        <v>250</v>
      </c>
    </row>
    <row r="6" spans="1:8">
      <c r="A6" s="2">
        <v>4005</v>
      </c>
      <c r="B6" s="1" t="s">
        <v>18</v>
      </c>
      <c r="C6" s="1" t="s">
        <v>8</v>
      </c>
      <c r="D6" s="1" t="s">
        <v>19</v>
      </c>
      <c r="E6" s="2">
        <v>30</v>
      </c>
      <c r="F6" s="2">
        <v>5</v>
      </c>
      <c r="G6" s="3">
        <v>45413</v>
      </c>
      <c r="H6">
        <f t="shared" si="0"/>
        <v>150</v>
      </c>
    </row>
    <row r="7" spans="1:8">
      <c r="A7" s="2">
        <v>4006</v>
      </c>
      <c r="B7" s="1" t="s">
        <v>20</v>
      </c>
      <c r="C7" s="1" t="s">
        <v>11</v>
      </c>
      <c r="D7" s="1" t="s">
        <v>9</v>
      </c>
      <c r="E7" s="2">
        <v>12</v>
      </c>
      <c r="F7" s="2">
        <v>50</v>
      </c>
      <c r="G7" s="3">
        <v>45444</v>
      </c>
      <c r="H7">
        <f t="shared" si="0"/>
        <v>600</v>
      </c>
    </row>
    <row r="8" spans="1:8">
      <c r="A8" s="2">
        <v>4007</v>
      </c>
      <c r="B8" s="1" t="s">
        <v>21</v>
      </c>
      <c r="C8" s="1" t="s">
        <v>14</v>
      </c>
      <c r="D8" s="1" t="s">
        <v>22</v>
      </c>
      <c r="E8" s="2">
        <v>25</v>
      </c>
      <c r="F8" s="2">
        <v>8</v>
      </c>
      <c r="G8" s="3">
        <v>45474</v>
      </c>
      <c r="H8">
        <f t="shared" si="0"/>
        <v>200</v>
      </c>
    </row>
    <row r="9" spans="1:8">
      <c r="A9" s="2">
        <v>4008</v>
      </c>
      <c r="B9" s="1" t="s">
        <v>23</v>
      </c>
      <c r="C9" s="1" t="s">
        <v>17</v>
      </c>
      <c r="D9" s="1" t="s">
        <v>12</v>
      </c>
      <c r="E9" s="2">
        <v>18</v>
      </c>
      <c r="F9" s="2">
        <v>10</v>
      </c>
      <c r="G9" s="3">
        <v>45505</v>
      </c>
      <c r="H9">
        <f t="shared" si="0"/>
        <v>180</v>
      </c>
    </row>
    <row r="10" spans="1:8">
      <c r="A10" s="2">
        <v>4009</v>
      </c>
      <c r="B10" s="1" t="s">
        <v>24</v>
      </c>
      <c r="C10" s="1" t="s">
        <v>8</v>
      </c>
      <c r="D10" s="1" t="s">
        <v>15</v>
      </c>
      <c r="E10" s="2">
        <v>22</v>
      </c>
      <c r="F10" s="2">
        <v>25</v>
      </c>
      <c r="G10" s="3">
        <v>45536</v>
      </c>
      <c r="H10">
        <f t="shared" si="0"/>
        <v>550</v>
      </c>
    </row>
    <row r="11" spans="1:8">
      <c r="A11" s="2">
        <v>4010</v>
      </c>
      <c r="B11" s="1" t="s">
        <v>25</v>
      </c>
      <c r="C11" s="1" t="s">
        <v>11</v>
      </c>
      <c r="D11" s="1" t="s">
        <v>9</v>
      </c>
      <c r="E11" s="2">
        <v>8</v>
      </c>
      <c r="F11" s="2">
        <v>50</v>
      </c>
      <c r="G11" s="3">
        <v>45566</v>
      </c>
      <c r="H11">
        <f t="shared" si="0"/>
        <v>400</v>
      </c>
    </row>
    <row r="12" spans="1:8">
      <c r="A12" s="2">
        <v>4011</v>
      </c>
      <c r="B12" s="1" t="s">
        <v>26</v>
      </c>
      <c r="C12" s="1" t="s">
        <v>14</v>
      </c>
      <c r="D12" s="1" t="s">
        <v>19</v>
      </c>
      <c r="E12" s="2">
        <v>40</v>
      </c>
      <c r="F12" s="2">
        <v>5</v>
      </c>
      <c r="G12" s="3">
        <v>45597</v>
      </c>
      <c r="H12">
        <f t="shared" si="0"/>
        <v>200</v>
      </c>
    </row>
    <row r="13" spans="1:8">
      <c r="A13" s="2">
        <v>4012</v>
      </c>
      <c r="B13" s="1" t="s">
        <v>27</v>
      </c>
      <c r="C13" s="1" t="s">
        <v>17</v>
      </c>
      <c r="D13" s="1" t="s">
        <v>22</v>
      </c>
      <c r="E13" s="2">
        <v>35</v>
      </c>
      <c r="F13" s="2">
        <v>8</v>
      </c>
      <c r="G13" s="3">
        <v>45627</v>
      </c>
      <c r="H13">
        <f t="shared" si="0"/>
        <v>280</v>
      </c>
    </row>
    <row r="14" spans="1:8">
      <c r="A14" s="2">
        <v>4013</v>
      </c>
      <c r="B14" s="1" t="s">
        <v>28</v>
      </c>
      <c r="C14" s="1" t="s">
        <v>8</v>
      </c>
      <c r="D14" s="1" t="s">
        <v>9</v>
      </c>
      <c r="E14" s="2">
        <v>14</v>
      </c>
      <c r="F14" s="2">
        <v>50</v>
      </c>
      <c r="G14" s="2" t="s">
        <v>29</v>
      </c>
      <c r="H14">
        <f t="shared" si="0"/>
        <v>700</v>
      </c>
    </row>
    <row r="15" spans="1:8">
      <c r="A15" s="2">
        <v>4014</v>
      </c>
      <c r="B15" s="1" t="s">
        <v>30</v>
      </c>
      <c r="C15" s="1" t="s">
        <v>11</v>
      </c>
      <c r="D15" s="1" t="s">
        <v>12</v>
      </c>
      <c r="E15" s="2">
        <v>28</v>
      </c>
      <c r="F15" s="2">
        <v>10</v>
      </c>
      <c r="G15" s="2" t="s">
        <v>31</v>
      </c>
      <c r="H15">
        <f t="shared" si="0"/>
        <v>280</v>
      </c>
    </row>
    <row r="16" spans="1:8">
      <c r="A16" s="2">
        <v>4015</v>
      </c>
      <c r="B16" s="1" t="s">
        <v>32</v>
      </c>
      <c r="C16" s="1" t="s">
        <v>14</v>
      </c>
      <c r="D16" s="1" t="s">
        <v>15</v>
      </c>
      <c r="E16" s="2">
        <v>12</v>
      </c>
      <c r="F16" s="2">
        <v>25</v>
      </c>
      <c r="G16" s="2" t="s">
        <v>33</v>
      </c>
      <c r="H16">
        <f t="shared" si="0"/>
        <v>300</v>
      </c>
    </row>
    <row r="17" spans="1:8">
      <c r="A17" s="2">
        <v>4016</v>
      </c>
      <c r="B17" s="1" t="s">
        <v>34</v>
      </c>
      <c r="C17" s="1" t="s">
        <v>17</v>
      </c>
      <c r="D17" s="1" t="s">
        <v>19</v>
      </c>
      <c r="E17" s="2">
        <v>25</v>
      </c>
      <c r="F17" s="2">
        <v>5</v>
      </c>
      <c r="G17" s="2" t="s">
        <v>35</v>
      </c>
      <c r="H17">
        <f t="shared" si="0"/>
        <v>125</v>
      </c>
    </row>
    <row r="18" spans="1:8">
      <c r="A18" s="2">
        <v>4017</v>
      </c>
      <c r="B18" s="1" t="s">
        <v>36</v>
      </c>
      <c r="C18" s="1" t="s">
        <v>8</v>
      </c>
      <c r="D18" s="1" t="s">
        <v>22</v>
      </c>
      <c r="E18" s="2">
        <v>20</v>
      </c>
      <c r="F18" s="2">
        <v>8</v>
      </c>
      <c r="G18" s="2" t="s">
        <v>37</v>
      </c>
      <c r="H18">
        <f t="shared" si="0"/>
        <v>160</v>
      </c>
    </row>
    <row r="19" spans="1:8">
      <c r="A19" s="2">
        <v>4018</v>
      </c>
      <c r="B19" s="1" t="s">
        <v>38</v>
      </c>
      <c r="C19" s="1" t="s">
        <v>11</v>
      </c>
      <c r="D19" s="1" t="s">
        <v>9</v>
      </c>
      <c r="E19" s="2">
        <v>10</v>
      </c>
      <c r="F19" s="2">
        <v>50</v>
      </c>
      <c r="G19" s="2" t="s">
        <v>39</v>
      </c>
      <c r="H19">
        <f t="shared" si="0"/>
        <v>500</v>
      </c>
    </row>
    <row r="20" spans="1:8">
      <c r="A20" s="2">
        <v>4019</v>
      </c>
      <c r="B20" s="1" t="s">
        <v>40</v>
      </c>
      <c r="C20" s="1" t="s">
        <v>14</v>
      </c>
      <c r="D20" s="1" t="s">
        <v>12</v>
      </c>
      <c r="E20" s="2">
        <v>15</v>
      </c>
      <c r="F20" s="2">
        <v>10</v>
      </c>
      <c r="G20" s="2" t="s">
        <v>41</v>
      </c>
      <c r="H20">
        <f t="shared" si="0"/>
        <v>150</v>
      </c>
    </row>
    <row r="21" spans="1:8">
      <c r="A21" s="2">
        <v>4020</v>
      </c>
      <c r="B21" s="1" t="s">
        <v>42</v>
      </c>
      <c r="C21" s="1" t="s">
        <v>17</v>
      </c>
      <c r="D21" s="1" t="s">
        <v>15</v>
      </c>
      <c r="E21" s="2">
        <v>18</v>
      </c>
      <c r="F21" s="2">
        <v>25</v>
      </c>
      <c r="G21" s="2" t="s">
        <v>43</v>
      </c>
      <c r="H21">
        <f t="shared" si="0"/>
        <v>450</v>
      </c>
    </row>
    <row r="22" spans="1:8">
      <c r="A22" s="2">
        <v>4021</v>
      </c>
      <c r="B22" s="1" t="s">
        <v>44</v>
      </c>
      <c r="C22" s="1" t="s">
        <v>8</v>
      </c>
      <c r="D22" s="1" t="s">
        <v>9</v>
      </c>
      <c r="E22" s="2">
        <v>9</v>
      </c>
      <c r="F22" s="2">
        <v>50</v>
      </c>
      <c r="G22" s="2" t="s">
        <v>45</v>
      </c>
      <c r="H22">
        <f t="shared" si="0"/>
        <v>450</v>
      </c>
    </row>
    <row r="23" spans="1:8">
      <c r="A23" s="2">
        <v>4022</v>
      </c>
      <c r="B23" s="1" t="s">
        <v>46</v>
      </c>
      <c r="C23" s="1" t="s">
        <v>11</v>
      </c>
      <c r="D23" s="1" t="s">
        <v>19</v>
      </c>
      <c r="E23" s="2">
        <v>35</v>
      </c>
      <c r="F23" s="2">
        <v>5</v>
      </c>
      <c r="G23" s="2" t="s">
        <v>47</v>
      </c>
      <c r="H23">
        <f t="shared" si="0"/>
        <v>175</v>
      </c>
    </row>
    <row r="24" spans="1:8">
      <c r="A24" s="2">
        <v>4023</v>
      </c>
      <c r="B24" s="1" t="s">
        <v>48</v>
      </c>
      <c r="C24" s="1" t="s">
        <v>14</v>
      </c>
      <c r="D24" s="1" t="s">
        <v>22</v>
      </c>
      <c r="E24" s="2">
        <v>30</v>
      </c>
      <c r="F24" s="2">
        <v>8</v>
      </c>
      <c r="G24" s="2" t="s">
        <v>49</v>
      </c>
      <c r="H24">
        <f t="shared" si="0"/>
        <v>240</v>
      </c>
    </row>
    <row r="25" spans="1:8">
      <c r="A25" s="2">
        <v>4024</v>
      </c>
      <c r="B25" s="1" t="s">
        <v>50</v>
      </c>
      <c r="C25" s="1" t="s">
        <v>17</v>
      </c>
      <c r="D25" s="1" t="s">
        <v>9</v>
      </c>
      <c r="E25" s="2">
        <v>11</v>
      </c>
      <c r="F25" s="2">
        <v>50</v>
      </c>
      <c r="G25" s="2" t="s">
        <v>51</v>
      </c>
      <c r="H25">
        <f t="shared" si="0"/>
        <v>550</v>
      </c>
    </row>
    <row r="26" spans="1:8">
      <c r="A26" s="2">
        <v>4025</v>
      </c>
      <c r="B26" s="1" t="s">
        <v>52</v>
      </c>
      <c r="C26" s="1" t="s">
        <v>8</v>
      </c>
      <c r="D26" s="1" t="s">
        <v>12</v>
      </c>
      <c r="E26" s="2">
        <v>14</v>
      </c>
      <c r="F26" s="2">
        <v>10</v>
      </c>
      <c r="G26" s="2" t="s">
        <v>53</v>
      </c>
      <c r="H26">
        <f t="shared" si="0"/>
        <v>140</v>
      </c>
    </row>
    <row r="27" spans="1:8">
      <c r="A27" s="2">
        <v>4026</v>
      </c>
      <c r="B27" s="1" t="s">
        <v>54</v>
      </c>
      <c r="C27" s="1" t="s">
        <v>11</v>
      </c>
      <c r="D27" s="1" t="s">
        <v>15</v>
      </c>
      <c r="E27" s="2">
        <v>16</v>
      </c>
      <c r="F27" s="2">
        <v>25</v>
      </c>
      <c r="G27" s="2" t="s">
        <v>55</v>
      </c>
      <c r="H27">
        <f t="shared" si="0"/>
        <v>400</v>
      </c>
    </row>
    <row r="28" spans="1:8">
      <c r="A28" s="2">
        <v>4027</v>
      </c>
      <c r="B28" s="1" t="s">
        <v>56</v>
      </c>
      <c r="C28" s="1" t="s">
        <v>14</v>
      </c>
      <c r="D28" s="1" t="s">
        <v>19</v>
      </c>
      <c r="E28" s="2">
        <v>22</v>
      </c>
      <c r="F28" s="2">
        <v>5</v>
      </c>
      <c r="G28" s="2" t="s">
        <v>57</v>
      </c>
      <c r="H28">
        <f t="shared" si="0"/>
        <v>110</v>
      </c>
    </row>
    <row r="29" spans="1:8">
      <c r="A29" s="2">
        <v>4028</v>
      </c>
      <c r="B29" s="1" t="s">
        <v>58</v>
      </c>
      <c r="C29" s="1" t="s">
        <v>17</v>
      </c>
      <c r="D29" s="1" t="s">
        <v>22</v>
      </c>
      <c r="E29" s="2">
        <v>27</v>
      </c>
      <c r="F29" s="2">
        <v>8</v>
      </c>
      <c r="G29" s="2" t="s">
        <v>59</v>
      </c>
      <c r="H29">
        <f t="shared" si="0"/>
        <v>216</v>
      </c>
    </row>
    <row r="30" spans="1:8">
      <c r="A30" s="2">
        <v>4029</v>
      </c>
      <c r="B30" s="1" t="s">
        <v>60</v>
      </c>
      <c r="C30" s="1" t="s">
        <v>8</v>
      </c>
      <c r="D30" s="1" t="s">
        <v>9</v>
      </c>
      <c r="E30" s="2">
        <v>13</v>
      </c>
      <c r="F30" s="2">
        <v>50</v>
      </c>
      <c r="G30" s="2" t="s">
        <v>61</v>
      </c>
      <c r="H30">
        <f t="shared" si="0"/>
        <v>650</v>
      </c>
    </row>
    <row r="31" spans="1:8">
      <c r="A31" s="2">
        <v>4030</v>
      </c>
      <c r="B31" s="1" t="s">
        <v>62</v>
      </c>
      <c r="C31" s="1" t="s">
        <v>11</v>
      </c>
      <c r="D31" s="1" t="s">
        <v>12</v>
      </c>
      <c r="E31" s="2">
        <v>32</v>
      </c>
      <c r="F31" s="2">
        <v>10</v>
      </c>
      <c r="G31" s="2" t="s">
        <v>63</v>
      </c>
      <c r="H31">
        <f t="shared" si="0"/>
        <v>320</v>
      </c>
    </row>
    <row r="32" spans="1:8">
      <c r="A32" s="2">
        <v>4031</v>
      </c>
      <c r="B32" s="1" t="s">
        <v>64</v>
      </c>
      <c r="C32" s="1" t="s">
        <v>14</v>
      </c>
      <c r="D32" s="1" t="s">
        <v>15</v>
      </c>
      <c r="E32" s="2">
        <v>10</v>
      </c>
      <c r="F32" s="2">
        <v>25</v>
      </c>
      <c r="G32" s="2" t="s">
        <v>65</v>
      </c>
      <c r="H32">
        <f t="shared" si="0"/>
        <v>250</v>
      </c>
    </row>
    <row r="33" spans="1:8">
      <c r="A33" s="2">
        <v>4032</v>
      </c>
      <c r="B33" s="1" t="s">
        <v>66</v>
      </c>
      <c r="C33" s="1" t="s">
        <v>17</v>
      </c>
      <c r="D33" s="1" t="s">
        <v>19</v>
      </c>
      <c r="E33" s="2">
        <v>18</v>
      </c>
      <c r="F33" s="2">
        <v>5</v>
      </c>
      <c r="G33" s="3">
        <v>45293</v>
      </c>
      <c r="H33">
        <f t="shared" si="0"/>
        <v>90</v>
      </c>
    </row>
    <row r="34" spans="1:8">
      <c r="A34" s="2">
        <v>4033</v>
      </c>
      <c r="B34" s="1" t="s">
        <v>67</v>
      </c>
      <c r="C34" s="1" t="s">
        <v>8</v>
      </c>
      <c r="D34" s="1" t="s">
        <v>22</v>
      </c>
      <c r="E34" s="2">
        <v>22</v>
      </c>
      <c r="F34" s="2">
        <v>8</v>
      </c>
      <c r="G34" s="3">
        <v>45324</v>
      </c>
      <c r="H34">
        <f t="shared" si="0"/>
        <v>176</v>
      </c>
    </row>
    <row r="35" spans="1:8">
      <c r="A35" s="2">
        <v>4034</v>
      </c>
      <c r="B35" s="1" t="s">
        <v>68</v>
      </c>
      <c r="C35" s="1" t="s">
        <v>11</v>
      </c>
      <c r="D35" s="1" t="s">
        <v>9</v>
      </c>
      <c r="E35" s="2">
        <v>17</v>
      </c>
      <c r="F35" s="2">
        <v>50</v>
      </c>
      <c r="G35" s="3">
        <v>45353</v>
      </c>
      <c r="H35">
        <f t="shared" si="0"/>
        <v>850</v>
      </c>
    </row>
    <row r="36" spans="1:8">
      <c r="A36" s="2">
        <v>4035</v>
      </c>
      <c r="B36" s="1" t="s">
        <v>69</v>
      </c>
      <c r="C36" s="1" t="s">
        <v>14</v>
      </c>
      <c r="D36" s="1" t="s">
        <v>12</v>
      </c>
      <c r="E36" s="2">
        <v>19</v>
      </c>
      <c r="F36" s="2">
        <v>10</v>
      </c>
      <c r="G36" s="3">
        <v>45384</v>
      </c>
      <c r="H36">
        <f t="shared" si="0"/>
        <v>190</v>
      </c>
    </row>
    <row r="37" spans="1:8">
      <c r="A37" s="2">
        <v>4036</v>
      </c>
      <c r="B37" s="1" t="s">
        <v>70</v>
      </c>
      <c r="C37" s="1" t="s">
        <v>17</v>
      </c>
      <c r="D37" s="1" t="s">
        <v>15</v>
      </c>
      <c r="E37" s="2">
        <v>15</v>
      </c>
      <c r="F37" s="2">
        <v>25</v>
      </c>
      <c r="G37" s="3">
        <v>45414</v>
      </c>
      <c r="H37">
        <f t="shared" si="0"/>
        <v>375</v>
      </c>
    </row>
    <row r="38" spans="1:8">
      <c r="A38" s="2">
        <v>4037</v>
      </c>
      <c r="B38" s="1" t="s">
        <v>71</v>
      </c>
      <c r="C38" s="1" t="s">
        <v>8</v>
      </c>
      <c r="D38" s="1" t="s">
        <v>19</v>
      </c>
      <c r="E38" s="2">
        <v>28</v>
      </c>
      <c r="F38" s="2">
        <v>5</v>
      </c>
      <c r="G38" s="3">
        <v>45445</v>
      </c>
      <c r="H38">
        <f t="shared" si="0"/>
        <v>140</v>
      </c>
    </row>
    <row r="39" spans="1:8">
      <c r="A39" s="2">
        <v>4038</v>
      </c>
      <c r="B39" s="1" t="s">
        <v>72</v>
      </c>
      <c r="C39" s="1" t="s">
        <v>11</v>
      </c>
      <c r="D39" s="1" t="s">
        <v>22</v>
      </c>
      <c r="E39" s="2">
        <v>24</v>
      </c>
      <c r="F39" s="2">
        <v>8</v>
      </c>
      <c r="G39" s="3">
        <v>45475</v>
      </c>
      <c r="H39">
        <f t="shared" si="0"/>
        <v>192</v>
      </c>
    </row>
    <row r="40" spans="1:8">
      <c r="A40" s="2">
        <v>4039</v>
      </c>
      <c r="B40" s="1" t="s">
        <v>73</v>
      </c>
      <c r="C40" s="1" t="s">
        <v>14</v>
      </c>
      <c r="D40" s="1" t="s">
        <v>9</v>
      </c>
      <c r="E40" s="2">
        <v>16</v>
      </c>
      <c r="F40" s="2">
        <v>50</v>
      </c>
      <c r="G40" s="3">
        <v>45506</v>
      </c>
      <c r="H40">
        <f t="shared" si="0"/>
        <v>800</v>
      </c>
    </row>
    <row r="41" spans="1:8">
      <c r="A41" s="2">
        <v>4040</v>
      </c>
      <c r="B41" s="1" t="s">
        <v>74</v>
      </c>
      <c r="C41" s="1" t="s">
        <v>17</v>
      </c>
      <c r="D41" s="1" t="s">
        <v>12</v>
      </c>
      <c r="E41" s="2">
        <v>27</v>
      </c>
      <c r="F41" s="2">
        <v>10</v>
      </c>
      <c r="G41" s="3">
        <v>45537</v>
      </c>
      <c r="H41">
        <f t="shared" si="0"/>
        <v>270</v>
      </c>
    </row>
    <row r="42" spans="1:8">
      <c r="A42" s="2">
        <v>4041</v>
      </c>
      <c r="B42" s="1" t="s">
        <v>75</v>
      </c>
      <c r="C42" s="1" t="s">
        <v>8</v>
      </c>
      <c r="D42" s="1" t="s">
        <v>15</v>
      </c>
      <c r="E42" s="2">
        <v>21</v>
      </c>
      <c r="F42" s="2">
        <v>25</v>
      </c>
      <c r="G42" s="3">
        <v>45567</v>
      </c>
      <c r="H42">
        <f t="shared" si="0"/>
        <v>525</v>
      </c>
    </row>
    <row r="43" spans="1:8">
      <c r="A43" s="2">
        <v>4042</v>
      </c>
      <c r="B43" s="1" t="s">
        <v>76</v>
      </c>
      <c r="C43" s="1" t="s">
        <v>11</v>
      </c>
      <c r="D43" s="1" t="s">
        <v>19</v>
      </c>
      <c r="E43" s="2">
        <v>30</v>
      </c>
      <c r="F43" s="2">
        <v>5</v>
      </c>
      <c r="G43" s="3">
        <v>45598</v>
      </c>
      <c r="H43">
        <f t="shared" si="0"/>
        <v>150</v>
      </c>
    </row>
    <row r="44" spans="1:8">
      <c r="A44" s="2">
        <v>4043</v>
      </c>
      <c r="B44" s="1" t="s">
        <v>77</v>
      </c>
      <c r="C44" s="1" t="s">
        <v>14</v>
      </c>
      <c r="D44" s="1" t="s">
        <v>22</v>
      </c>
      <c r="E44" s="2">
        <v>26</v>
      </c>
      <c r="F44" s="2">
        <v>8</v>
      </c>
      <c r="G44" s="3">
        <v>45628</v>
      </c>
      <c r="H44">
        <f t="shared" si="0"/>
        <v>208</v>
      </c>
    </row>
    <row r="45" spans="1:8">
      <c r="A45" s="2">
        <v>4044</v>
      </c>
      <c r="B45" s="1" t="s">
        <v>78</v>
      </c>
      <c r="C45" s="1" t="s">
        <v>17</v>
      </c>
      <c r="D45" s="1" t="s">
        <v>9</v>
      </c>
      <c r="E45" s="2">
        <v>14</v>
      </c>
      <c r="F45" s="2">
        <v>50</v>
      </c>
      <c r="G45" s="2" t="s">
        <v>79</v>
      </c>
      <c r="H45">
        <f t="shared" si="0"/>
        <v>700</v>
      </c>
    </row>
    <row r="46" spans="1:8">
      <c r="A46" s="2">
        <v>4045</v>
      </c>
      <c r="B46" s="1" t="s">
        <v>80</v>
      </c>
      <c r="C46" s="1" t="s">
        <v>8</v>
      </c>
      <c r="D46" s="1" t="s">
        <v>12</v>
      </c>
      <c r="E46" s="2">
        <v>20</v>
      </c>
      <c r="F46" s="2">
        <v>10</v>
      </c>
      <c r="G46" s="2" t="s">
        <v>81</v>
      </c>
      <c r="H46">
        <f t="shared" si="0"/>
        <v>200</v>
      </c>
    </row>
    <row r="47" spans="1:8">
      <c r="A47" s="2">
        <v>4046</v>
      </c>
      <c r="B47" s="1" t="s">
        <v>82</v>
      </c>
      <c r="C47" s="1" t="s">
        <v>11</v>
      </c>
      <c r="D47" s="1" t="s">
        <v>15</v>
      </c>
      <c r="E47" s="2">
        <v>17</v>
      </c>
      <c r="F47" s="2">
        <v>25</v>
      </c>
      <c r="G47" s="2" t="s">
        <v>83</v>
      </c>
      <c r="H47">
        <f t="shared" si="0"/>
        <v>425</v>
      </c>
    </row>
    <row r="48" spans="1:8">
      <c r="A48" s="2">
        <v>4047</v>
      </c>
      <c r="B48" s="1" t="s">
        <v>84</v>
      </c>
      <c r="C48" s="1" t="s">
        <v>14</v>
      </c>
      <c r="D48" s="1" t="s">
        <v>19</v>
      </c>
      <c r="E48" s="2">
        <v>19</v>
      </c>
      <c r="F48" s="2">
        <v>5</v>
      </c>
      <c r="G48" s="2" t="s">
        <v>85</v>
      </c>
      <c r="H48">
        <f t="shared" si="0"/>
        <v>95</v>
      </c>
    </row>
    <row r="49" spans="1:8">
      <c r="A49" s="2">
        <v>4048</v>
      </c>
      <c r="B49" s="1" t="s">
        <v>86</v>
      </c>
      <c r="C49" s="1" t="s">
        <v>17</v>
      </c>
      <c r="D49" s="1" t="s">
        <v>22</v>
      </c>
      <c r="E49" s="2">
        <v>32</v>
      </c>
      <c r="F49" s="2">
        <v>8</v>
      </c>
      <c r="G49" s="2" t="s">
        <v>87</v>
      </c>
      <c r="H49">
        <f t="shared" si="0"/>
        <v>256</v>
      </c>
    </row>
    <row r="50" spans="1:8">
      <c r="A50" s="2">
        <v>4049</v>
      </c>
      <c r="B50" s="1" t="s">
        <v>88</v>
      </c>
      <c r="C50" s="1" t="s">
        <v>8</v>
      </c>
      <c r="D50" s="1" t="s">
        <v>9</v>
      </c>
      <c r="E50" s="2">
        <v>12</v>
      </c>
      <c r="F50" s="2">
        <v>50</v>
      </c>
      <c r="G50" s="2" t="s">
        <v>89</v>
      </c>
      <c r="H50">
        <f t="shared" si="0"/>
        <v>600</v>
      </c>
    </row>
    <row r="51" spans="1:8">
      <c r="A51" s="2">
        <v>4050</v>
      </c>
      <c r="B51" s="1" t="s">
        <v>90</v>
      </c>
      <c r="C51" s="1" t="s">
        <v>11</v>
      </c>
      <c r="D51" s="1" t="s">
        <v>12</v>
      </c>
      <c r="E51" s="2">
        <v>25</v>
      </c>
      <c r="F51" s="2">
        <v>10</v>
      </c>
      <c r="G51" s="2" t="s">
        <v>91</v>
      </c>
      <c r="H51">
        <f t="shared" si="0"/>
        <v>250</v>
      </c>
    </row>
    <row r="52" spans="1:8">
      <c r="A52" s="2">
        <v>4051</v>
      </c>
      <c r="B52" s="1" t="s">
        <v>7</v>
      </c>
      <c r="C52" s="1" t="s">
        <v>8</v>
      </c>
      <c r="D52" s="1" t="s">
        <v>15</v>
      </c>
      <c r="E52" s="2">
        <v>18</v>
      </c>
      <c r="F52" s="2">
        <v>25</v>
      </c>
      <c r="G52" s="2" t="s">
        <v>92</v>
      </c>
      <c r="H52">
        <f t="shared" si="0"/>
        <v>450</v>
      </c>
    </row>
    <row r="53" spans="1:8">
      <c r="A53" s="2">
        <v>4052</v>
      </c>
      <c r="B53" s="1" t="s">
        <v>10</v>
      </c>
      <c r="C53" s="1" t="s">
        <v>11</v>
      </c>
      <c r="D53" s="1" t="s">
        <v>9</v>
      </c>
      <c r="E53" s="2">
        <v>14</v>
      </c>
      <c r="F53" s="2">
        <v>50</v>
      </c>
      <c r="G53" s="2" t="s">
        <v>93</v>
      </c>
      <c r="H53">
        <f t="shared" si="0"/>
        <v>700</v>
      </c>
    </row>
    <row r="54" spans="1:8">
      <c r="A54" s="2">
        <v>4053</v>
      </c>
      <c r="B54" s="1" t="s">
        <v>13</v>
      </c>
      <c r="C54" s="1" t="s">
        <v>14</v>
      </c>
      <c r="D54" s="1" t="s">
        <v>12</v>
      </c>
      <c r="E54" s="2">
        <v>22</v>
      </c>
      <c r="F54" s="2">
        <v>10</v>
      </c>
      <c r="G54" s="2" t="s">
        <v>94</v>
      </c>
      <c r="H54">
        <f t="shared" si="0"/>
        <v>220</v>
      </c>
    </row>
    <row r="55" spans="1:8">
      <c r="A55" s="2">
        <v>4054</v>
      </c>
      <c r="B55" s="1" t="s">
        <v>16</v>
      </c>
      <c r="C55" s="1" t="s">
        <v>17</v>
      </c>
      <c r="D55" s="1" t="s">
        <v>19</v>
      </c>
      <c r="E55" s="2">
        <v>26</v>
      </c>
      <c r="F55" s="2">
        <v>5</v>
      </c>
      <c r="G55" s="2" t="s">
        <v>95</v>
      </c>
      <c r="H55">
        <f t="shared" si="0"/>
        <v>130</v>
      </c>
    </row>
    <row r="56" spans="1:8">
      <c r="A56" s="2">
        <v>4055</v>
      </c>
      <c r="B56" s="1" t="s">
        <v>18</v>
      </c>
      <c r="C56" s="1" t="s">
        <v>8</v>
      </c>
      <c r="D56" s="1" t="s">
        <v>22</v>
      </c>
      <c r="E56" s="2">
        <v>28</v>
      </c>
      <c r="F56" s="2">
        <v>8</v>
      </c>
      <c r="G56" s="2" t="s">
        <v>96</v>
      </c>
      <c r="H56">
        <f t="shared" si="0"/>
        <v>224</v>
      </c>
    </row>
    <row r="57" spans="1:8">
      <c r="A57" s="2">
        <v>4056</v>
      </c>
      <c r="B57" s="1" t="s">
        <v>20</v>
      </c>
      <c r="C57" s="1" t="s">
        <v>11</v>
      </c>
      <c r="D57" s="1" t="s">
        <v>15</v>
      </c>
      <c r="E57" s="2">
        <v>16</v>
      </c>
      <c r="F57" s="2">
        <v>25</v>
      </c>
      <c r="G57" s="2" t="s">
        <v>97</v>
      </c>
      <c r="H57">
        <f t="shared" si="0"/>
        <v>400</v>
      </c>
    </row>
    <row r="58" spans="1:8">
      <c r="A58" s="2">
        <v>4057</v>
      </c>
      <c r="B58" s="1" t="s">
        <v>21</v>
      </c>
      <c r="C58" s="1" t="s">
        <v>14</v>
      </c>
      <c r="D58" s="1" t="s">
        <v>9</v>
      </c>
      <c r="E58" s="2">
        <v>20</v>
      </c>
      <c r="F58" s="2">
        <v>50</v>
      </c>
      <c r="G58" s="2" t="s">
        <v>98</v>
      </c>
      <c r="H58">
        <f t="shared" si="0"/>
        <v>1000</v>
      </c>
    </row>
    <row r="59" spans="1:8">
      <c r="A59" s="2">
        <v>4058</v>
      </c>
      <c r="B59" s="1" t="s">
        <v>23</v>
      </c>
      <c r="C59" s="1" t="s">
        <v>17</v>
      </c>
      <c r="D59" s="1" t="s">
        <v>12</v>
      </c>
      <c r="E59" s="2">
        <v>18</v>
      </c>
      <c r="F59" s="2">
        <v>10</v>
      </c>
      <c r="G59" s="2" t="s">
        <v>99</v>
      </c>
      <c r="H59">
        <f t="shared" si="0"/>
        <v>180</v>
      </c>
    </row>
    <row r="60" spans="1:8">
      <c r="A60" s="2">
        <v>4059</v>
      </c>
      <c r="B60" s="1" t="s">
        <v>24</v>
      </c>
      <c r="C60" s="1" t="s">
        <v>8</v>
      </c>
      <c r="D60" s="1" t="s">
        <v>19</v>
      </c>
      <c r="E60" s="2">
        <v>24</v>
      </c>
      <c r="F60" s="2">
        <v>5</v>
      </c>
      <c r="G60" s="2" t="s">
        <v>100</v>
      </c>
      <c r="H60">
        <f t="shared" si="0"/>
        <v>120</v>
      </c>
    </row>
    <row r="61" spans="1:8">
      <c r="A61" s="2">
        <v>4060</v>
      </c>
      <c r="B61" s="1" t="s">
        <v>25</v>
      </c>
      <c r="C61" s="1" t="s">
        <v>11</v>
      </c>
      <c r="D61" s="1" t="s">
        <v>22</v>
      </c>
      <c r="E61" s="2">
        <v>30</v>
      </c>
      <c r="F61" s="2">
        <v>8</v>
      </c>
      <c r="G61" s="2" t="s">
        <v>101</v>
      </c>
      <c r="H61">
        <f t="shared" si="0"/>
        <v>240</v>
      </c>
    </row>
    <row r="62" spans="1:8">
      <c r="A62" s="2">
        <v>4061</v>
      </c>
      <c r="B62" s="1" t="s">
        <v>26</v>
      </c>
      <c r="C62" s="1" t="s">
        <v>14</v>
      </c>
      <c r="D62" s="1" t="s">
        <v>9</v>
      </c>
      <c r="E62" s="2">
        <v>12</v>
      </c>
      <c r="F62" s="2">
        <v>50</v>
      </c>
      <c r="G62" s="3">
        <v>45294</v>
      </c>
      <c r="H62">
        <f t="shared" si="0"/>
        <v>600</v>
      </c>
    </row>
    <row r="63" spans="1:8">
      <c r="A63" s="2">
        <v>4062</v>
      </c>
      <c r="B63" s="1" t="s">
        <v>27</v>
      </c>
      <c r="C63" s="1" t="s">
        <v>17</v>
      </c>
      <c r="D63" s="1" t="s">
        <v>15</v>
      </c>
      <c r="E63" s="2">
        <v>15</v>
      </c>
      <c r="F63" s="2">
        <v>25</v>
      </c>
      <c r="G63" s="3">
        <v>45325</v>
      </c>
      <c r="H63">
        <f t="shared" si="0"/>
        <v>375</v>
      </c>
    </row>
    <row r="64" spans="1:8">
      <c r="A64" s="2">
        <v>4063</v>
      </c>
      <c r="B64" s="1" t="s">
        <v>28</v>
      </c>
      <c r="C64" s="1" t="s">
        <v>8</v>
      </c>
      <c r="D64" s="1" t="s">
        <v>12</v>
      </c>
      <c r="E64" s="2">
        <v>20</v>
      </c>
      <c r="F64" s="2">
        <v>10</v>
      </c>
      <c r="G64" s="3">
        <v>45354</v>
      </c>
      <c r="H64">
        <f t="shared" si="0"/>
        <v>200</v>
      </c>
    </row>
    <row r="65" spans="1:8">
      <c r="A65" s="2">
        <v>4064</v>
      </c>
      <c r="B65" s="1" t="s">
        <v>30</v>
      </c>
      <c r="C65" s="1" t="s">
        <v>11</v>
      </c>
      <c r="D65" s="1" t="s">
        <v>19</v>
      </c>
      <c r="E65" s="2">
        <v>22</v>
      </c>
      <c r="F65" s="2">
        <v>5</v>
      </c>
      <c r="G65" s="3">
        <v>45385</v>
      </c>
      <c r="H65">
        <f t="shared" si="0"/>
        <v>110</v>
      </c>
    </row>
    <row r="66" spans="1:8">
      <c r="A66" s="2">
        <v>4065</v>
      </c>
      <c r="B66" s="1" t="s">
        <v>32</v>
      </c>
      <c r="C66" s="1" t="s">
        <v>14</v>
      </c>
      <c r="D66" s="1" t="s">
        <v>22</v>
      </c>
      <c r="E66" s="2">
        <v>26</v>
      </c>
      <c r="F66" s="2">
        <v>8</v>
      </c>
      <c r="G66" s="3">
        <v>45415</v>
      </c>
      <c r="H66">
        <f t="shared" si="0"/>
        <v>208</v>
      </c>
    </row>
    <row r="67" spans="1:8">
      <c r="A67" s="2">
        <v>4066</v>
      </c>
      <c r="B67" s="1" t="s">
        <v>34</v>
      </c>
      <c r="C67" s="1" t="s">
        <v>17</v>
      </c>
      <c r="D67" s="1" t="s">
        <v>9</v>
      </c>
      <c r="E67" s="2">
        <v>18</v>
      </c>
      <c r="F67" s="2">
        <v>50</v>
      </c>
      <c r="G67" s="3">
        <v>45446</v>
      </c>
      <c r="H67">
        <f t="shared" ref="H67:H71" si="1">E67*F67</f>
        <v>900</v>
      </c>
    </row>
    <row r="68" spans="1:8">
      <c r="A68" s="2">
        <v>4067</v>
      </c>
      <c r="B68" s="1" t="s">
        <v>36</v>
      </c>
      <c r="C68" s="1" t="s">
        <v>8</v>
      </c>
      <c r="D68" s="1" t="s">
        <v>15</v>
      </c>
      <c r="E68" s="2">
        <v>14</v>
      </c>
      <c r="F68" s="2">
        <v>25</v>
      </c>
      <c r="G68" s="3">
        <v>45476</v>
      </c>
      <c r="H68">
        <f t="shared" si="1"/>
        <v>350</v>
      </c>
    </row>
    <row r="69" spans="1:8">
      <c r="A69" s="2">
        <v>4068</v>
      </c>
      <c r="B69" s="1" t="s">
        <v>38</v>
      </c>
      <c r="C69" s="1" t="s">
        <v>11</v>
      </c>
      <c r="D69" s="1" t="s">
        <v>12</v>
      </c>
      <c r="E69" s="2">
        <v>28</v>
      </c>
      <c r="F69" s="2">
        <v>10</v>
      </c>
      <c r="G69" s="3">
        <v>45507</v>
      </c>
      <c r="H69">
        <f t="shared" si="1"/>
        <v>280</v>
      </c>
    </row>
    <row r="70" spans="1:8">
      <c r="A70" s="2">
        <v>4069</v>
      </c>
      <c r="B70" s="1" t="s">
        <v>40</v>
      </c>
      <c r="C70" s="1" t="s">
        <v>14</v>
      </c>
      <c r="D70" s="1" t="s">
        <v>19</v>
      </c>
      <c r="E70" s="2">
        <v>32</v>
      </c>
      <c r="F70" s="2">
        <v>5</v>
      </c>
      <c r="G70" s="3">
        <v>45538</v>
      </c>
      <c r="H70">
        <f t="shared" si="1"/>
        <v>160</v>
      </c>
    </row>
    <row r="71" spans="1:8">
      <c r="A71" s="2">
        <v>4070</v>
      </c>
      <c r="B71" s="1" t="s">
        <v>42</v>
      </c>
      <c r="C71" s="1" t="s">
        <v>17</v>
      </c>
      <c r="D71" s="1" t="s">
        <v>22</v>
      </c>
      <c r="E71" s="2">
        <v>24</v>
      </c>
      <c r="F71" s="2">
        <v>8</v>
      </c>
      <c r="G71" s="3">
        <v>45568</v>
      </c>
      <c r="H71">
        <f t="shared" si="1"/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7515-FA32-4B3A-975A-4A3DF75782C6}">
  <dimension ref="A1:H71"/>
  <sheetViews>
    <sheetView topLeftCell="A35" workbookViewId="0">
      <selection activeCell="E59" sqref="E59"/>
    </sheetView>
  </sheetViews>
  <sheetFormatPr defaultColWidth="14.44140625" defaultRowHeight="14.4"/>
  <cols>
    <col min="1" max="1" width="8.88671875" bestFit="1" customWidth="1"/>
    <col min="2" max="2" width="16.33203125" bestFit="1" customWidth="1"/>
    <col min="3" max="3" width="8" bestFit="1" customWidth="1"/>
    <col min="4" max="4" width="9.5546875" bestFit="1" customWidth="1"/>
    <col min="5" max="5" width="9.21875" bestFit="1" customWidth="1"/>
    <col min="6" max="6" width="10.109375" style="23" bestFit="1" customWidth="1"/>
    <col min="7" max="7" width="11.33203125" bestFit="1" customWidth="1"/>
    <col min="8" max="8" width="11.88671875" style="23" bestFit="1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1" t="s">
        <v>5</v>
      </c>
      <c r="G1" s="5" t="s">
        <v>6</v>
      </c>
      <c r="H1" s="21" t="s">
        <v>102</v>
      </c>
    </row>
    <row r="2" spans="1:8">
      <c r="A2" s="18">
        <v>4001</v>
      </c>
      <c r="B2" s="20" t="s">
        <v>7</v>
      </c>
      <c r="C2" s="20" t="s">
        <v>8</v>
      </c>
      <c r="D2" s="20" t="s">
        <v>9</v>
      </c>
      <c r="E2" s="18">
        <v>10</v>
      </c>
      <c r="F2" s="22">
        <v>50</v>
      </c>
      <c r="G2" s="19">
        <v>45292</v>
      </c>
      <c r="H2" s="24">
        <f>E2*F2</f>
        <v>500</v>
      </c>
    </row>
    <row r="3" spans="1:8">
      <c r="A3" s="18">
        <v>4002</v>
      </c>
      <c r="B3" s="20" t="s">
        <v>10</v>
      </c>
      <c r="C3" s="20" t="s">
        <v>11</v>
      </c>
      <c r="D3" s="20" t="s">
        <v>12</v>
      </c>
      <c r="E3" s="18">
        <v>20</v>
      </c>
      <c r="F3" s="22">
        <v>10</v>
      </c>
      <c r="G3" s="19">
        <v>45323</v>
      </c>
      <c r="H3" s="24">
        <f t="shared" ref="H3:H66" si="0">E3*F3</f>
        <v>200</v>
      </c>
    </row>
    <row r="4" spans="1:8">
      <c r="A4" s="18">
        <v>4003</v>
      </c>
      <c r="B4" s="20" t="s">
        <v>13</v>
      </c>
      <c r="C4" s="20" t="s">
        <v>14</v>
      </c>
      <c r="D4" s="20" t="s">
        <v>15</v>
      </c>
      <c r="E4" s="18">
        <v>15</v>
      </c>
      <c r="F4" s="22">
        <v>25</v>
      </c>
      <c r="G4" s="19">
        <v>45352</v>
      </c>
      <c r="H4" s="24">
        <f t="shared" si="0"/>
        <v>375</v>
      </c>
    </row>
    <row r="5" spans="1:8">
      <c r="A5" s="18">
        <v>4004</v>
      </c>
      <c r="B5" s="20" t="s">
        <v>16</v>
      </c>
      <c r="C5" s="20" t="s">
        <v>17</v>
      </c>
      <c r="D5" s="20" t="s">
        <v>9</v>
      </c>
      <c r="E5" s="18">
        <v>5</v>
      </c>
      <c r="F5" s="22">
        <v>50</v>
      </c>
      <c r="G5" s="19">
        <v>45383</v>
      </c>
      <c r="H5" s="24">
        <f t="shared" si="0"/>
        <v>250</v>
      </c>
    </row>
    <row r="6" spans="1:8">
      <c r="A6" s="18">
        <v>4005</v>
      </c>
      <c r="B6" s="20" t="s">
        <v>18</v>
      </c>
      <c r="C6" s="20" t="s">
        <v>8</v>
      </c>
      <c r="D6" s="20" t="s">
        <v>19</v>
      </c>
      <c r="E6" s="18">
        <v>30</v>
      </c>
      <c r="F6" s="22">
        <v>5</v>
      </c>
      <c r="G6" s="19">
        <v>45413</v>
      </c>
      <c r="H6" s="24">
        <f t="shared" si="0"/>
        <v>150</v>
      </c>
    </row>
    <row r="7" spans="1:8">
      <c r="A7" s="18">
        <v>4006</v>
      </c>
      <c r="B7" s="20" t="s">
        <v>20</v>
      </c>
      <c r="C7" s="20" t="s">
        <v>11</v>
      </c>
      <c r="D7" s="20" t="s">
        <v>9</v>
      </c>
      <c r="E7" s="18">
        <v>12</v>
      </c>
      <c r="F7" s="22">
        <v>50</v>
      </c>
      <c r="G7" s="19">
        <v>45444</v>
      </c>
      <c r="H7" s="24">
        <f t="shared" si="0"/>
        <v>600</v>
      </c>
    </row>
    <row r="8" spans="1:8">
      <c r="A8" s="18">
        <v>4007</v>
      </c>
      <c r="B8" s="20" t="s">
        <v>21</v>
      </c>
      <c r="C8" s="20" t="s">
        <v>14</v>
      </c>
      <c r="D8" s="20" t="s">
        <v>22</v>
      </c>
      <c r="E8" s="18">
        <v>25</v>
      </c>
      <c r="F8" s="22">
        <v>8</v>
      </c>
      <c r="G8" s="19">
        <v>45474</v>
      </c>
      <c r="H8" s="24">
        <f t="shared" si="0"/>
        <v>200</v>
      </c>
    </row>
    <row r="9" spans="1:8">
      <c r="A9" s="18">
        <v>4008</v>
      </c>
      <c r="B9" s="20" t="s">
        <v>23</v>
      </c>
      <c r="C9" s="20" t="s">
        <v>17</v>
      </c>
      <c r="D9" s="20" t="s">
        <v>12</v>
      </c>
      <c r="E9" s="18">
        <v>18</v>
      </c>
      <c r="F9" s="22">
        <v>10</v>
      </c>
      <c r="G9" s="19">
        <v>45505</v>
      </c>
      <c r="H9" s="24">
        <f t="shared" si="0"/>
        <v>180</v>
      </c>
    </row>
    <row r="10" spans="1:8">
      <c r="A10" s="18">
        <v>4009</v>
      </c>
      <c r="B10" s="20" t="s">
        <v>24</v>
      </c>
      <c r="C10" s="20" t="s">
        <v>8</v>
      </c>
      <c r="D10" s="20" t="s">
        <v>15</v>
      </c>
      <c r="E10" s="18">
        <v>22</v>
      </c>
      <c r="F10" s="22">
        <v>25</v>
      </c>
      <c r="G10" s="19">
        <v>45536</v>
      </c>
      <c r="H10" s="24">
        <f t="shared" si="0"/>
        <v>550</v>
      </c>
    </row>
    <row r="11" spans="1:8">
      <c r="A11" s="18">
        <v>4010</v>
      </c>
      <c r="B11" s="20" t="s">
        <v>25</v>
      </c>
      <c r="C11" s="20" t="s">
        <v>11</v>
      </c>
      <c r="D11" s="20" t="s">
        <v>9</v>
      </c>
      <c r="E11" s="18">
        <v>8</v>
      </c>
      <c r="F11" s="22">
        <v>50</v>
      </c>
      <c r="G11" s="19">
        <v>45566</v>
      </c>
      <c r="H11" s="24">
        <f t="shared" si="0"/>
        <v>400</v>
      </c>
    </row>
    <row r="12" spans="1:8">
      <c r="A12" s="18">
        <v>4011</v>
      </c>
      <c r="B12" s="20" t="s">
        <v>26</v>
      </c>
      <c r="C12" s="20" t="s">
        <v>14</v>
      </c>
      <c r="D12" s="20" t="s">
        <v>19</v>
      </c>
      <c r="E12" s="18">
        <v>40</v>
      </c>
      <c r="F12" s="22">
        <v>5</v>
      </c>
      <c r="G12" s="19">
        <v>45597</v>
      </c>
      <c r="H12" s="24">
        <f t="shared" si="0"/>
        <v>200</v>
      </c>
    </row>
    <row r="13" spans="1:8">
      <c r="A13" s="18">
        <v>4012</v>
      </c>
      <c r="B13" s="20" t="s">
        <v>27</v>
      </c>
      <c r="C13" s="20" t="s">
        <v>17</v>
      </c>
      <c r="D13" s="20" t="s">
        <v>22</v>
      </c>
      <c r="E13" s="18">
        <v>35</v>
      </c>
      <c r="F13" s="22">
        <v>8</v>
      </c>
      <c r="G13" s="19">
        <v>45627</v>
      </c>
      <c r="H13" s="24">
        <f t="shared" si="0"/>
        <v>280</v>
      </c>
    </row>
    <row r="14" spans="1:8">
      <c r="A14" s="18">
        <v>4013</v>
      </c>
      <c r="B14" s="20" t="s">
        <v>28</v>
      </c>
      <c r="C14" s="20" t="s">
        <v>8</v>
      </c>
      <c r="D14" s="20" t="s">
        <v>9</v>
      </c>
      <c r="E14" s="18">
        <v>14</v>
      </c>
      <c r="F14" s="22">
        <v>50</v>
      </c>
      <c r="G14" s="18" t="s">
        <v>29</v>
      </c>
      <c r="H14" s="24">
        <f t="shared" si="0"/>
        <v>700</v>
      </c>
    </row>
    <row r="15" spans="1:8">
      <c r="A15" s="18">
        <v>4014</v>
      </c>
      <c r="B15" s="20" t="s">
        <v>30</v>
      </c>
      <c r="C15" s="20" t="s">
        <v>11</v>
      </c>
      <c r="D15" s="20" t="s">
        <v>12</v>
      </c>
      <c r="E15" s="18">
        <v>28</v>
      </c>
      <c r="F15" s="22">
        <v>10</v>
      </c>
      <c r="G15" s="18" t="s">
        <v>31</v>
      </c>
      <c r="H15" s="24">
        <f t="shared" si="0"/>
        <v>280</v>
      </c>
    </row>
    <row r="16" spans="1:8">
      <c r="A16" s="18">
        <v>4015</v>
      </c>
      <c r="B16" s="20" t="s">
        <v>32</v>
      </c>
      <c r="C16" s="20" t="s">
        <v>14</v>
      </c>
      <c r="D16" s="20" t="s">
        <v>15</v>
      </c>
      <c r="E16" s="18">
        <v>12</v>
      </c>
      <c r="F16" s="22">
        <v>25</v>
      </c>
      <c r="G16" s="18" t="s">
        <v>33</v>
      </c>
      <c r="H16" s="24">
        <f t="shared" si="0"/>
        <v>300</v>
      </c>
    </row>
    <row r="17" spans="1:8">
      <c r="A17" s="18">
        <v>4016</v>
      </c>
      <c r="B17" s="20" t="s">
        <v>34</v>
      </c>
      <c r="C17" s="20" t="s">
        <v>17</v>
      </c>
      <c r="D17" s="20" t="s">
        <v>19</v>
      </c>
      <c r="E17" s="18">
        <v>25</v>
      </c>
      <c r="F17" s="22">
        <v>5</v>
      </c>
      <c r="G17" s="18" t="s">
        <v>35</v>
      </c>
      <c r="H17" s="24">
        <f t="shared" si="0"/>
        <v>125</v>
      </c>
    </row>
    <row r="18" spans="1:8">
      <c r="A18" s="18">
        <v>4017</v>
      </c>
      <c r="B18" s="20" t="s">
        <v>36</v>
      </c>
      <c r="C18" s="20" t="s">
        <v>8</v>
      </c>
      <c r="D18" s="20" t="s">
        <v>22</v>
      </c>
      <c r="E18" s="18">
        <v>20</v>
      </c>
      <c r="F18" s="22">
        <v>8</v>
      </c>
      <c r="G18" s="18" t="s">
        <v>37</v>
      </c>
      <c r="H18" s="24">
        <f t="shared" si="0"/>
        <v>160</v>
      </c>
    </row>
    <row r="19" spans="1:8">
      <c r="A19" s="18">
        <v>4018</v>
      </c>
      <c r="B19" s="20" t="s">
        <v>38</v>
      </c>
      <c r="C19" s="20" t="s">
        <v>11</v>
      </c>
      <c r="D19" s="20" t="s">
        <v>9</v>
      </c>
      <c r="E19" s="18">
        <v>10</v>
      </c>
      <c r="F19" s="22">
        <v>50</v>
      </c>
      <c r="G19" s="18" t="s">
        <v>39</v>
      </c>
      <c r="H19" s="24">
        <f t="shared" si="0"/>
        <v>500</v>
      </c>
    </row>
    <row r="20" spans="1:8">
      <c r="A20" s="18">
        <v>4019</v>
      </c>
      <c r="B20" s="20" t="s">
        <v>40</v>
      </c>
      <c r="C20" s="20" t="s">
        <v>14</v>
      </c>
      <c r="D20" s="20" t="s">
        <v>12</v>
      </c>
      <c r="E20" s="18">
        <v>15</v>
      </c>
      <c r="F20" s="22">
        <v>10</v>
      </c>
      <c r="G20" s="18" t="s">
        <v>41</v>
      </c>
      <c r="H20" s="24">
        <f t="shared" si="0"/>
        <v>150</v>
      </c>
    </row>
    <row r="21" spans="1:8">
      <c r="A21" s="18">
        <v>4020</v>
      </c>
      <c r="B21" s="20" t="s">
        <v>42</v>
      </c>
      <c r="C21" s="20" t="s">
        <v>17</v>
      </c>
      <c r="D21" s="20" t="s">
        <v>15</v>
      </c>
      <c r="E21" s="18">
        <v>18</v>
      </c>
      <c r="F21" s="22">
        <v>25</v>
      </c>
      <c r="G21" s="18" t="s">
        <v>43</v>
      </c>
      <c r="H21" s="24">
        <f t="shared" si="0"/>
        <v>450</v>
      </c>
    </row>
    <row r="22" spans="1:8">
      <c r="A22" s="18">
        <v>4021</v>
      </c>
      <c r="B22" s="20" t="s">
        <v>44</v>
      </c>
      <c r="C22" s="20" t="s">
        <v>8</v>
      </c>
      <c r="D22" s="20" t="s">
        <v>9</v>
      </c>
      <c r="E22" s="18">
        <v>9</v>
      </c>
      <c r="F22" s="22">
        <v>50</v>
      </c>
      <c r="G22" s="18" t="s">
        <v>45</v>
      </c>
      <c r="H22" s="24">
        <f t="shared" si="0"/>
        <v>450</v>
      </c>
    </row>
    <row r="23" spans="1:8">
      <c r="A23" s="18">
        <v>4022</v>
      </c>
      <c r="B23" s="20" t="s">
        <v>46</v>
      </c>
      <c r="C23" s="20" t="s">
        <v>11</v>
      </c>
      <c r="D23" s="20" t="s">
        <v>19</v>
      </c>
      <c r="E23" s="18">
        <v>35</v>
      </c>
      <c r="F23" s="22">
        <v>5</v>
      </c>
      <c r="G23" s="18" t="s">
        <v>47</v>
      </c>
      <c r="H23" s="24">
        <f t="shared" si="0"/>
        <v>175</v>
      </c>
    </row>
    <row r="24" spans="1:8">
      <c r="A24" s="18">
        <v>4023</v>
      </c>
      <c r="B24" s="20" t="s">
        <v>48</v>
      </c>
      <c r="C24" s="20" t="s">
        <v>14</v>
      </c>
      <c r="D24" s="20" t="s">
        <v>22</v>
      </c>
      <c r="E24" s="18">
        <v>30</v>
      </c>
      <c r="F24" s="22">
        <v>8</v>
      </c>
      <c r="G24" s="18" t="s">
        <v>49</v>
      </c>
      <c r="H24" s="24">
        <f t="shared" si="0"/>
        <v>240</v>
      </c>
    </row>
    <row r="25" spans="1:8">
      <c r="A25" s="18">
        <v>4024</v>
      </c>
      <c r="B25" s="20" t="s">
        <v>50</v>
      </c>
      <c r="C25" s="20" t="s">
        <v>17</v>
      </c>
      <c r="D25" s="20" t="s">
        <v>9</v>
      </c>
      <c r="E25" s="18">
        <v>11</v>
      </c>
      <c r="F25" s="22">
        <v>50</v>
      </c>
      <c r="G25" s="18" t="s">
        <v>51</v>
      </c>
      <c r="H25" s="24">
        <f t="shared" si="0"/>
        <v>550</v>
      </c>
    </row>
    <row r="26" spans="1:8">
      <c r="A26" s="18">
        <v>4025</v>
      </c>
      <c r="B26" s="20" t="s">
        <v>52</v>
      </c>
      <c r="C26" s="20" t="s">
        <v>8</v>
      </c>
      <c r="D26" s="20" t="s">
        <v>12</v>
      </c>
      <c r="E26" s="18">
        <v>14</v>
      </c>
      <c r="F26" s="22">
        <v>10</v>
      </c>
      <c r="G26" s="18" t="s">
        <v>53</v>
      </c>
      <c r="H26" s="24">
        <f t="shared" si="0"/>
        <v>140</v>
      </c>
    </row>
    <row r="27" spans="1:8">
      <c r="A27" s="18">
        <v>4026</v>
      </c>
      <c r="B27" s="20" t="s">
        <v>54</v>
      </c>
      <c r="C27" s="20" t="s">
        <v>11</v>
      </c>
      <c r="D27" s="20" t="s">
        <v>15</v>
      </c>
      <c r="E27" s="18">
        <v>16</v>
      </c>
      <c r="F27" s="22">
        <v>25</v>
      </c>
      <c r="G27" s="18" t="s">
        <v>55</v>
      </c>
      <c r="H27" s="24">
        <f t="shared" si="0"/>
        <v>400</v>
      </c>
    </row>
    <row r="28" spans="1:8">
      <c r="A28" s="18">
        <v>4027</v>
      </c>
      <c r="B28" s="20" t="s">
        <v>56</v>
      </c>
      <c r="C28" s="20" t="s">
        <v>14</v>
      </c>
      <c r="D28" s="20" t="s">
        <v>19</v>
      </c>
      <c r="E28" s="18">
        <v>22</v>
      </c>
      <c r="F28" s="22">
        <v>5</v>
      </c>
      <c r="G28" s="18" t="s">
        <v>57</v>
      </c>
      <c r="H28" s="24">
        <f t="shared" si="0"/>
        <v>110</v>
      </c>
    </row>
    <row r="29" spans="1:8">
      <c r="A29" s="18">
        <v>4028</v>
      </c>
      <c r="B29" s="20" t="s">
        <v>58</v>
      </c>
      <c r="C29" s="20" t="s">
        <v>17</v>
      </c>
      <c r="D29" s="20" t="s">
        <v>22</v>
      </c>
      <c r="E29" s="18">
        <v>27</v>
      </c>
      <c r="F29" s="22">
        <v>8</v>
      </c>
      <c r="G29" s="18" t="s">
        <v>59</v>
      </c>
      <c r="H29" s="24">
        <f t="shared" si="0"/>
        <v>216</v>
      </c>
    </row>
    <row r="30" spans="1:8">
      <c r="A30" s="18">
        <v>4029</v>
      </c>
      <c r="B30" s="20" t="s">
        <v>60</v>
      </c>
      <c r="C30" s="20" t="s">
        <v>8</v>
      </c>
      <c r="D30" s="20" t="s">
        <v>9</v>
      </c>
      <c r="E30" s="18">
        <v>13</v>
      </c>
      <c r="F30" s="22">
        <v>50</v>
      </c>
      <c r="G30" s="18" t="s">
        <v>61</v>
      </c>
      <c r="H30" s="24">
        <f t="shared" si="0"/>
        <v>650</v>
      </c>
    </row>
    <row r="31" spans="1:8">
      <c r="A31" s="18">
        <v>4030</v>
      </c>
      <c r="B31" s="20" t="s">
        <v>62</v>
      </c>
      <c r="C31" s="20" t="s">
        <v>11</v>
      </c>
      <c r="D31" s="20" t="s">
        <v>12</v>
      </c>
      <c r="E31" s="18">
        <v>32</v>
      </c>
      <c r="F31" s="22">
        <v>10</v>
      </c>
      <c r="G31" s="18" t="s">
        <v>63</v>
      </c>
      <c r="H31" s="24">
        <f t="shared" si="0"/>
        <v>320</v>
      </c>
    </row>
    <row r="32" spans="1:8">
      <c r="A32" s="18">
        <v>4031</v>
      </c>
      <c r="B32" s="20" t="s">
        <v>64</v>
      </c>
      <c r="C32" s="20" t="s">
        <v>14</v>
      </c>
      <c r="D32" s="20" t="s">
        <v>15</v>
      </c>
      <c r="E32" s="18">
        <v>10</v>
      </c>
      <c r="F32" s="22">
        <v>25</v>
      </c>
      <c r="G32" s="18" t="s">
        <v>65</v>
      </c>
      <c r="H32" s="24">
        <f t="shared" si="0"/>
        <v>250</v>
      </c>
    </row>
    <row r="33" spans="1:8">
      <c r="A33" s="18">
        <v>4032</v>
      </c>
      <c r="B33" s="20" t="s">
        <v>66</v>
      </c>
      <c r="C33" s="20" t="s">
        <v>17</v>
      </c>
      <c r="D33" s="20" t="s">
        <v>19</v>
      </c>
      <c r="E33" s="18">
        <v>18</v>
      </c>
      <c r="F33" s="22">
        <v>5</v>
      </c>
      <c r="G33" s="19">
        <v>45293</v>
      </c>
      <c r="H33" s="24">
        <f t="shared" si="0"/>
        <v>90</v>
      </c>
    </row>
    <row r="34" spans="1:8">
      <c r="A34" s="18">
        <v>4033</v>
      </c>
      <c r="B34" s="20" t="s">
        <v>67</v>
      </c>
      <c r="C34" s="20" t="s">
        <v>8</v>
      </c>
      <c r="D34" s="20" t="s">
        <v>22</v>
      </c>
      <c r="E34" s="18">
        <v>22</v>
      </c>
      <c r="F34" s="22">
        <v>8</v>
      </c>
      <c r="G34" s="19">
        <v>45324</v>
      </c>
      <c r="H34" s="24">
        <f t="shared" si="0"/>
        <v>176</v>
      </c>
    </row>
    <row r="35" spans="1:8">
      <c r="A35" s="18">
        <v>4034</v>
      </c>
      <c r="B35" s="20" t="s">
        <v>68</v>
      </c>
      <c r="C35" s="20" t="s">
        <v>11</v>
      </c>
      <c r="D35" s="20" t="s">
        <v>9</v>
      </c>
      <c r="E35" s="18">
        <v>17</v>
      </c>
      <c r="F35" s="22">
        <v>50</v>
      </c>
      <c r="G35" s="19">
        <v>45353</v>
      </c>
      <c r="H35" s="24">
        <f t="shared" si="0"/>
        <v>850</v>
      </c>
    </row>
    <row r="36" spans="1:8">
      <c r="A36" s="18">
        <v>4035</v>
      </c>
      <c r="B36" s="20" t="s">
        <v>69</v>
      </c>
      <c r="C36" s="20" t="s">
        <v>14</v>
      </c>
      <c r="D36" s="20" t="s">
        <v>12</v>
      </c>
      <c r="E36" s="18">
        <v>19</v>
      </c>
      <c r="F36" s="22">
        <v>10</v>
      </c>
      <c r="G36" s="19">
        <v>45384</v>
      </c>
      <c r="H36" s="24">
        <f t="shared" si="0"/>
        <v>190</v>
      </c>
    </row>
    <row r="37" spans="1:8">
      <c r="A37" s="18">
        <v>4036</v>
      </c>
      <c r="B37" s="20" t="s">
        <v>70</v>
      </c>
      <c r="C37" s="20" t="s">
        <v>17</v>
      </c>
      <c r="D37" s="20" t="s">
        <v>15</v>
      </c>
      <c r="E37" s="18">
        <v>15</v>
      </c>
      <c r="F37" s="22">
        <v>25</v>
      </c>
      <c r="G37" s="19">
        <v>45414</v>
      </c>
      <c r="H37" s="24">
        <f t="shared" si="0"/>
        <v>375</v>
      </c>
    </row>
    <row r="38" spans="1:8">
      <c r="A38" s="18">
        <v>4037</v>
      </c>
      <c r="B38" s="20" t="s">
        <v>71</v>
      </c>
      <c r="C38" s="20" t="s">
        <v>8</v>
      </c>
      <c r="D38" s="20" t="s">
        <v>19</v>
      </c>
      <c r="E38" s="18">
        <v>28</v>
      </c>
      <c r="F38" s="22">
        <v>5</v>
      </c>
      <c r="G38" s="19">
        <v>45445</v>
      </c>
      <c r="H38" s="24">
        <f t="shared" si="0"/>
        <v>140</v>
      </c>
    </row>
    <row r="39" spans="1:8">
      <c r="A39" s="18">
        <v>4038</v>
      </c>
      <c r="B39" s="20" t="s">
        <v>72</v>
      </c>
      <c r="C39" s="20" t="s">
        <v>11</v>
      </c>
      <c r="D39" s="20" t="s">
        <v>22</v>
      </c>
      <c r="E39" s="18">
        <v>24</v>
      </c>
      <c r="F39" s="22">
        <v>8</v>
      </c>
      <c r="G39" s="19">
        <v>45475</v>
      </c>
      <c r="H39" s="24">
        <f t="shared" si="0"/>
        <v>192</v>
      </c>
    </row>
    <row r="40" spans="1:8">
      <c r="A40" s="18">
        <v>4039</v>
      </c>
      <c r="B40" s="20" t="s">
        <v>73</v>
      </c>
      <c r="C40" s="20" t="s">
        <v>14</v>
      </c>
      <c r="D40" s="20" t="s">
        <v>9</v>
      </c>
      <c r="E40" s="18">
        <v>16</v>
      </c>
      <c r="F40" s="22">
        <v>50</v>
      </c>
      <c r="G40" s="19">
        <v>45506</v>
      </c>
      <c r="H40" s="24">
        <f t="shared" si="0"/>
        <v>800</v>
      </c>
    </row>
    <row r="41" spans="1:8">
      <c r="A41" s="18">
        <v>4040</v>
      </c>
      <c r="B41" s="20" t="s">
        <v>74</v>
      </c>
      <c r="C41" s="20" t="s">
        <v>17</v>
      </c>
      <c r="D41" s="20" t="s">
        <v>12</v>
      </c>
      <c r="E41" s="18">
        <v>27</v>
      </c>
      <c r="F41" s="22">
        <v>10</v>
      </c>
      <c r="G41" s="19">
        <v>45537</v>
      </c>
      <c r="H41" s="24">
        <f t="shared" si="0"/>
        <v>270</v>
      </c>
    </row>
    <row r="42" spans="1:8">
      <c r="A42" s="18">
        <v>4041</v>
      </c>
      <c r="B42" s="20" t="s">
        <v>75</v>
      </c>
      <c r="C42" s="20" t="s">
        <v>8</v>
      </c>
      <c r="D42" s="20" t="s">
        <v>15</v>
      </c>
      <c r="E42" s="18">
        <v>21</v>
      </c>
      <c r="F42" s="22">
        <v>25</v>
      </c>
      <c r="G42" s="19">
        <v>45567</v>
      </c>
      <c r="H42" s="24">
        <f t="shared" si="0"/>
        <v>525</v>
      </c>
    </row>
    <row r="43" spans="1:8">
      <c r="A43" s="18">
        <v>4042</v>
      </c>
      <c r="B43" s="20" t="s">
        <v>76</v>
      </c>
      <c r="C43" s="20" t="s">
        <v>11</v>
      </c>
      <c r="D43" s="20" t="s">
        <v>19</v>
      </c>
      <c r="E43" s="18">
        <v>30</v>
      </c>
      <c r="F43" s="22">
        <v>5</v>
      </c>
      <c r="G43" s="19">
        <v>45598</v>
      </c>
      <c r="H43" s="24">
        <f t="shared" si="0"/>
        <v>150</v>
      </c>
    </row>
    <row r="44" spans="1:8">
      <c r="A44" s="18">
        <v>4043</v>
      </c>
      <c r="B44" s="20" t="s">
        <v>77</v>
      </c>
      <c r="C44" s="20" t="s">
        <v>14</v>
      </c>
      <c r="D44" s="20" t="s">
        <v>22</v>
      </c>
      <c r="E44" s="18">
        <v>26</v>
      </c>
      <c r="F44" s="22">
        <v>8</v>
      </c>
      <c r="G44" s="19">
        <v>45628</v>
      </c>
      <c r="H44" s="24">
        <f t="shared" si="0"/>
        <v>208</v>
      </c>
    </row>
    <row r="45" spans="1:8">
      <c r="A45" s="18">
        <v>4044</v>
      </c>
      <c r="B45" s="20" t="s">
        <v>78</v>
      </c>
      <c r="C45" s="20" t="s">
        <v>17</v>
      </c>
      <c r="D45" s="20" t="s">
        <v>9</v>
      </c>
      <c r="E45" s="18">
        <v>14</v>
      </c>
      <c r="F45" s="22">
        <v>50</v>
      </c>
      <c r="G45" s="18" t="s">
        <v>79</v>
      </c>
      <c r="H45" s="24">
        <f t="shared" si="0"/>
        <v>700</v>
      </c>
    </row>
    <row r="46" spans="1:8">
      <c r="A46" s="18">
        <v>4045</v>
      </c>
      <c r="B46" s="20" t="s">
        <v>80</v>
      </c>
      <c r="C46" s="20" t="s">
        <v>8</v>
      </c>
      <c r="D46" s="20" t="s">
        <v>12</v>
      </c>
      <c r="E46" s="18">
        <v>20</v>
      </c>
      <c r="F46" s="22">
        <v>10</v>
      </c>
      <c r="G46" s="18" t="s">
        <v>81</v>
      </c>
      <c r="H46" s="24">
        <f t="shared" si="0"/>
        <v>200</v>
      </c>
    </row>
    <row r="47" spans="1:8">
      <c r="A47" s="18">
        <v>4046</v>
      </c>
      <c r="B47" s="20" t="s">
        <v>82</v>
      </c>
      <c r="C47" s="20" t="s">
        <v>11</v>
      </c>
      <c r="D47" s="20" t="s">
        <v>15</v>
      </c>
      <c r="E47" s="18">
        <v>17</v>
      </c>
      <c r="F47" s="22">
        <v>25</v>
      </c>
      <c r="G47" s="18" t="s">
        <v>83</v>
      </c>
      <c r="H47" s="24">
        <f t="shared" si="0"/>
        <v>425</v>
      </c>
    </row>
    <row r="48" spans="1:8">
      <c r="A48" s="18">
        <v>4047</v>
      </c>
      <c r="B48" s="20" t="s">
        <v>84</v>
      </c>
      <c r="C48" s="20" t="s">
        <v>14</v>
      </c>
      <c r="D48" s="20" t="s">
        <v>19</v>
      </c>
      <c r="E48" s="18">
        <v>19</v>
      </c>
      <c r="F48" s="22">
        <v>5</v>
      </c>
      <c r="G48" s="18" t="s">
        <v>85</v>
      </c>
      <c r="H48" s="24">
        <f t="shared" si="0"/>
        <v>95</v>
      </c>
    </row>
    <row r="49" spans="1:8">
      <c r="A49" s="18">
        <v>4048</v>
      </c>
      <c r="B49" s="20" t="s">
        <v>86</v>
      </c>
      <c r="C49" s="20" t="s">
        <v>17</v>
      </c>
      <c r="D49" s="20" t="s">
        <v>22</v>
      </c>
      <c r="E49" s="18">
        <v>32</v>
      </c>
      <c r="F49" s="22">
        <v>8</v>
      </c>
      <c r="G49" s="18" t="s">
        <v>87</v>
      </c>
      <c r="H49" s="24">
        <f t="shared" si="0"/>
        <v>256</v>
      </c>
    </row>
    <row r="50" spans="1:8">
      <c r="A50" s="18">
        <v>4049</v>
      </c>
      <c r="B50" s="20" t="s">
        <v>88</v>
      </c>
      <c r="C50" s="20" t="s">
        <v>8</v>
      </c>
      <c r="D50" s="20" t="s">
        <v>9</v>
      </c>
      <c r="E50" s="18">
        <v>12</v>
      </c>
      <c r="F50" s="22">
        <v>50</v>
      </c>
      <c r="G50" s="18" t="s">
        <v>89</v>
      </c>
      <c r="H50" s="24">
        <f t="shared" si="0"/>
        <v>600</v>
      </c>
    </row>
    <row r="51" spans="1:8">
      <c r="A51" s="18">
        <v>4050</v>
      </c>
      <c r="B51" s="20" t="s">
        <v>90</v>
      </c>
      <c r="C51" s="20" t="s">
        <v>11</v>
      </c>
      <c r="D51" s="20" t="s">
        <v>12</v>
      </c>
      <c r="E51" s="18">
        <v>25</v>
      </c>
      <c r="F51" s="22">
        <v>10</v>
      </c>
      <c r="G51" s="18" t="s">
        <v>91</v>
      </c>
      <c r="H51" s="24">
        <f t="shared" si="0"/>
        <v>250</v>
      </c>
    </row>
    <row r="52" spans="1:8">
      <c r="A52" s="18">
        <v>4051</v>
      </c>
      <c r="B52" s="20" t="s">
        <v>7</v>
      </c>
      <c r="C52" s="20" t="s">
        <v>8</v>
      </c>
      <c r="D52" s="20" t="s">
        <v>15</v>
      </c>
      <c r="E52" s="18">
        <v>18</v>
      </c>
      <c r="F52" s="22">
        <v>25</v>
      </c>
      <c r="G52" s="18" t="s">
        <v>92</v>
      </c>
      <c r="H52" s="24">
        <f t="shared" si="0"/>
        <v>450</v>
      </c>
    </row>
    <row r="53" spans="1:8">
      <c r="A53" s="18">
        <v>4052</v>
      </c>
      <c r="B53" s="20" t="s">
        <v>10</v>
      </c>
      <c r="C53" s="20" t="s">
        <v>11</v>
      </c>
      <c r="D53" s="20" t="s">
        <v>9</v>
      </c>
      <c r="E53" s="18">
        <v>14</v>
      </c>
      <c r="F53" s="22">
        <v>50</v>
      </c>
      <c r="G53" s="18" t="s">
        <v>93</v>
      </c>
      <c r="H53" s="24">
        <f t="shared" si="0"/>
        <v>700</v>
      </c>
    </row>
    <row r="54" spans="1:8">
      <c r="A54" s="18">
        <v>4053</v>
      </c>
      <c r="B54" s="20" t="s">
        <v>13</v>
      </c>
      <c r="C54" s="20" t="s">
        <v>14</v>
      </c>
      <c r="D54" s="20" t="s">
        <v>12</v>
      </c>
      <c r="E54" s="18">
        <v>22</v>
      </c>
      <c r="F54" s="22">
        <v>10</v>
      </c>
      <c r="G54" s="18" t="s">
        <v>94</v>
      </c>
      <c r="H54" s="24">
        <f t="shared" si="0"/>
        <v>220</v>
      </c>
    </row>
    <row r="55" spans="1:8">
      <c r="A55" s="18">
        <v>4054</v>
      </c>
      <c r="B55" s="20" t="s">
        <v>16</v>
      </c>
      <c r="C55" s="20" t="s">
        <v>17</v>
      </c>
      <c r="D55" s="20" t="s">
        <v>19</v>
      </c>
      <c r="E55" s="18">
        <v>26</v>
      </c>
      <c r="F55" s="22">
        <v>5</v>
      </c>
      <c r="G55" s="18" t="s">
        <v>95</v>
      </c>
      <c r="H55" s="24">
        <f t="shared" si="0"/>
        <v>130</v>
      </c>
    </row>
    <row r="56" spans="1:8">
      <c r="A56" s="18">
        <v>4055</v>
      </c>
      <c r="B56" s="20" t="s">
        <v>18</v>
      </c>
      <c r="C56" s="20" t="s">
        <v>8</v>
      </c>
      <c r="D56" s="20" t="s">
        <v>22</v>
      </c>
      <c r="E56" s="18">
        <v>28</v>
      </c>
      <c r="F56" s="22">
        <v>8</v>
      </c>
      <c r="G56" s="18" t="s">
        <v>96</v>
      </c>
      <c r="H56" s="24">
        <f t="shared" si="0"/>
        <v>224</v>
      </c>
    </row>
    <row r="57" spans="1:8">
      <c r="A57" s="18">
        <v>4056</v>
      </c>
      <c r="B57" s="20" t="s">
        <v>20</v>
      </c>
      <c r="C57" s="20" t="s">
        <v>11</v>
      </c>
      <c r="D57" s="20" t="s">
        <v>15</v>
      </c>
      <c r="E57" s="18">
        <v>16</v>
      </c>
      <c r="F57" s="22">
        <v>25</v>
      </c>
      <c r="G57" s="18" t="s">
        <v>97</v>
      </c>
      <c r="H57" s="24">
        <f t="shared" si="0"/>
        <v>400</v>
      </c>
    </row>
    <row r="58" spans="1:8">
      <c r="A58" s="18">
        <v>4057</v>
      </c>
      <c r="B58" s="20" t="s">
        <v>21</v>
      </c>
      <c r="C58" s="20" t="s">
        <v>14</v>
      </c>
      <c r="D58" s="20" t="s">
        <v>9</v>
      </c>
      <c r="E58" s="18">
        <v>20</v>
      </c>
      <c r="F58" s="22">
        <v>50</v>
      </c>
      <c r="G58" s="18" t="s">
        <v>98</v>
      </c>
      <c r="H58" s="24">
        <f t="shared" si="0"/>
        <v>1000</v>
      </c>
    </row>
    <row r="59" spans="1:8">
      <c r="A59" s="18">
        <v>4058</v>
      </c>
      <c r="B59" s="20" t="s">
        <v>23</v>
      </c>
      <c r="C59" s="20" t="s">
        <v>17</v>
      </c>
      <c r="D59" s="20" t="s">
        <v>12</v>
      </c>
      <c r="E59" s="18">
        <v>18</v>
      </c>
      <c r="F59" s="22">
        <v>10</v>
      </c>
      <c r="G59" s="18" t="s">
        <v>99</v>
      </c>
      <c r="H59" s="24">
        <f t="shared" si="0"/>
        <v>180</v>
      </c>
    </row>
    <row r="60" spans="1:8">
      <c r="A60" s="18">
        <v>4059</v>
      </c>
      <c r="B60" s="20" t="s">
        <v>24</v>
      </c>
      <c r="C60" s="20" t="s">
        <v>8</v>
      </c>
      <c r="D60" s="20" t="s">
        <v>19</v>
      </c>
      <c r="E60" s="18">
        <v>24</v>
      </c>
      <c r="F60" s="22">
        <v>5</v>
      </c>
      <c r="G60" s="18" t="s">
        <v>100</v>
      </c>
      <c r="H60" s="24">
        <f t="shared" si="0"/>
        <v>120</v>
      </c>
    </row>
    <row r="61" spans="1:8">
      <c r="A61" s="18">
        <v>4060</v>
      </c>
      <c r="B61" s="20" t="s">
        <v>25</v>
      </c>
      <c r="C61" s="20" t="s">
        <v>11</v>
      </c>
      <c r="D61" s="20" t="s">
        <v>22</v>
      </c>
      <c r="E61" s="18">
        <v>30</v>
      </c>
      <c r="F61" s="22">
        <v>8</v>
      </c>
      <c r="G61" s="18" t="s">
        <v>101</v>
      </c>
      <c r="H61" s="24">
        <f t="shared" si="0"/>
        <v>240</v>
      </c>
    </row>
    <row r="62" spans="1:8">
      <c r="A62" s="18">
        <v>4061</v>
      </c>
      <c r="B62" s="20" t="s">
        <v>26</v>
      </c>
      <c r="C62" s="20" t="s">
        <v>14</v>
      </c>
      <c r="D62" s="20" t="s">
        <v>9</v>
      </c>
      <c r="E62" s="18">
        <v>12</v>
      </c>
      <c r="F62" s="22">
        <v>50</v>
      </c>
      <c r="G62" s="19">
        <v>45294</v>
      </c>
      <c r="H62" s="24">
        <f t="shared" si="0"/>
        <v>600</v>
      </c>
    </row>
    <row r="63" spans="1:8">
      <c r="A63" s="18">
        <v>4062</v>
      </c>
      <c r="B63" s="20" t="s">
        <v>27</v>
      </c>
      <c r="C63" s="20" t="s">
        <v>17</v>
      </c>
      <c r="D63" s="20" t="s">
        <v>15</v>
      </c>
      <c r="E63" s="18">
        <v>15</v>
      </c>
      <c r="F63" s="22">
        <v>25</v>
      </c>
      <c r="G63" s="19">
        <v>45325</v>
      </c>
      <c r="H63" s="24">
        <f t="shared" si="0"/>
        <v>375</v>
      </c>
    </row>
    <row r="64" spans="1:8">
      <c r="A64" s="18">
        <v>4063</v>
      </c>
      <c r="B64" s="20" t="s">
        <v>28</v>
      </c>
      <c r="C64" s="20" t="s">
        <v>8</v>
      </c>
      <c r="D64" s="20" t="s">
        <v>12</v>
      </c>
      <c r="E64" s="18">
        <v>20</v>
      </c>
      <c r="F64" s="22">
        <v>10</v>
      </c>
      <c r="G64" s="19">
        <v>45354</v>
      </c>
      <c r="H64" s="24">
        <f t="shared" si="0"/>
        <v>200</v>
      </c>
    </row>
    <row r="65" spans="1:8">
      <c r="A65" s="18">
        <v>4064</v>
      </c>
      <c r="B65" s="20" t="s">
        <v>30</v>
      </c>
      <c r="C65" s="20" t="s">
        <v>11</v>
      </c>
      <c r="D65" s="20" t="s">
        <v>19</v>
      </c>
      <c r="E65" s="18">
        <v>22</v>
      </c>
      <c r="F65" s="22">
        <v>5</v>
      </c>
      <c r="G65" s="19">
        <v>45385</v>
      </c>
      <c r="H65" s="24">
        <f t="shared" si="0"/>
        <v>110</v>
      </c>
    </row>
    <row r="66" spans="1:8">
      <c r="A66" s="18">
        <v>4065</v>
      </c>
      <c r="B66" s="20" t="s">
        <v>32</v>
      </c>
      <c r="C66" s="20" t="s">
        <v>14</v>
      </c>
      <c r="D66" s="20" t="s">
        <v>22</v>
      </c>
      <c r="E66" s="18">
        <v>26</v>
      </c>
      <c r="F66" s="22">
        <v>8</v>
      </c>
      <c r="G66" s="19">
        <v>45415</v>
      </c>
      <c r="H66" s="24">
        <f t="shared" si="0"/>
        <v>208</v>
      </c>
    </row>
    <row r="67" spans="1:8">
      <c r="A67" s="18">
        <v>4066</v>
      </c>
      <c r="B67" s="20" t="s">
        <v>34</v>
      </c>
      <c r="C67" s="20" t="s">
        <v>17</v>
      </c>
      <c r="D67" s="20" t="s">
        <v>9</v>
      </c>
      <c r="E67" s="18">
        <v>18</v>
      </c>
      <c r="F67" s="22">
        <v>50</v>
      </c>
      <c r="G67" s="19">
        <v>45446</v>
      </c>
      <c r="H67" s="24">
        <f t="shared" ref="H67:H71" si="1">E67*F67</f>
        <v>900</v>
      </c>
    </row>
    <row r="68" spans="1:8">
      <c r="A68" s="18">
        <v>4067</v>
      </c>
      <c r="B68" s="20" t="s">
        <v>36</v>
      </c>
      <c r="C68" s="20" t="s">
        <v>8</v>
      </c>
      <c r="D68" s="20" t="s">
        <v>15</v>
      </c>
      <c r="E68" s="18">
        <v>14</v>
      </c>
      <c r="F68" s="22">
        <v>25</v>
      </c>
      <c r="G68" s="19">
        <v>45476</v>
      </c>
      <c r="H68" s="24">
        <f t="shared" si="1"/>
        <v>350</v>
      </c>
    </row>
    <row r="69" spans="1:8">
      <c r="A69" s="18">
        <v>4068</v>
      </c>
      <c r="B69" s="20" t="s">
        <v>38</v>
      </c>
      <c r="C69" s="20" t="s">
        <v>11</v>
      </c>
      <c r="D69" s="20" t="s">
        <v>12</v>
      </c>
      <c r="E69" s="18">
        <v>28</v>
      </c>
      <c r="F69" s="22">
        <v>10</v>
      </c>
      <c r="G69" s="19">
        <v>45507</v>
      </c>
      <c r="H69" s="24">
        <f t="shared" si="1"/>
        <v>280</v>
      </c>
    </row>
    <row r="70" spans="1:8">
      <c r="A70" s="18">
        <v>4069</v>
      </c>
      <c r="B70" s="20" t="s">
        <v>40</v>
      </c>
      <c r="C70" s="20" t="s">
        <v>14</v>
      </c>
      <c r="D70" s="20" t="s">
        <v>19</v>
      </c>
      <c r="E70" s="18">
        <v>32</v>
      </c>
      <c r="F70" s="22">
        <v>5</v>
      </c>
      <c r="G70" s="19">
        <v>45538</v>
      </c>
      <c r="H70" s="24">
        <f t="shared" si="1"/>
        <v>160</v>
      </c>
    </row>
    <row r="71" spans="1:8">
      <c r="A71" s="18">
        <v>4070</v>
      </c>
      <c r="B71" s="20" t="s">
        <v>42</v>
      </c>
      <c r="C71" s="20" t="s">
        <v>17</v>
      </c>
      <c r="D71" s="20" t="s">
        <v>22</v>
      </c>
      <c r="E71" s="18">
        <v>24</v>
      </c>
      <c r="F71" s="22">
        <v>8</v>
      </c>
      <c r="G71" s="19">
        <v>45568</v>
      </c>
      <c r="H71" s="24">
        <f t="shared" si="1"/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6115-CE1D-4BD5-80CD-9BEF34A9DBDC}">
  <dimension ref="B2:C6"/>
  <sheetViews>
    <sheetView workbookViewId="0">
      <selection activeCell="C3" sqref="C3"/>
    </sheetView>
  </sheetViews>
  <sheetFormatPr defaultRowHeight="14.4"/>
  <cols>
    <col min="2" max="2" width="17.77734375" bestFit="1" customWidth="1"/>
    <col min="3" max="3" width="23" customWidth="1"/>
  </cols>
  <sheetData>
    <row r="2" spans="2:3">
      <c r="B2" s="11" t="s">
        <v>103</v>
      </c>
      <c r="C2" s="12"/>
    </row>
    <row r="3" spans="2:3">
      <c r="B3" s="12" t="s">
        <v>104</v>
      </c>
      <c r="C3" s="14">
        <f>SUM('Task 1 Total Sales'!E2:E71)</f>
        <v>1430</v>
      </c>
    </row>
    <row r="4" spans="2:3">
      <c r="B4" s="12" t="s">
        <v>105</v>
      </c>
      <c r="C4" s="13">
        <f>AVERAGE('Task 1 Total Sales'!E2:E71)</f>
        <v>20.428571428571427</v>
      </c>
    </row>
    <row r="5" spans="2:3">
      <c r="B5" s="12" t="s">
        <v>106</v>
      </c>
      <c r="C5" s="12">
        <f>MAX('Task 1 Total Sales'!E2:E71)</f>
        <v>40</v>
      </c>
    </row>
    <row r="6" spans="2:3">
      <c r="B6" s="12" t="s">
        <v>107</v>
      </c>
      <c r="C6" s="12">
        <f>MIN('Task 1 Total Sales'!E2:E71)</f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5E4E-2098-449A-84DD-6B93F327710E}">
  <sheetPr filterMode="1"/>
  <dimension ref="A1:G71"/>
  <sheetViews>
    <sheetView workbookViewId="0">
      <selection activeCell="F72" sqref="F72"/>
    </sheetView>
  </sheetViews>
  <sheetFormatPr defaultColWidth="14.44140625" defaultRowHeight="14.4"/>
  <cols>
    <col min="1" max="1" width="13.33203125" bestFit="1" customWidth="1"/>
    <col min="2" max="2" width="20.77734375" bestFit="1" customWidth="1"/>
    <col min="3" max="3" width="12.44140625" bestFit="1" customWidth="1"/>
    <col min="4" max="4" width="13.21875" bestFit="1" customWidth="1"/>
    <col min="5" max="5" width="13.6640625" bestFit="1" customWidth="1"/>
    <col min="6" max="6" width="14.5546875" bestFit="1" customWidth="1"/>
    <col min="7" max="7" width="15.7773437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5">
        <v>4001</v>
      </c>
      <c r="B2" s="15" t="s">
        <v>7</v>
      </c>
      <c r="C2" s="15" t="s">
        <v>8</v>
      </c>
      <c r="D2" s="15" t="s">
        <v>9</v>
      </c>
      <c r="E2" s="15">
        <v>10</v>
      </c>
      <c r="F2" s="16">
        <v>50</v>
      </c>
      <c r="G2" s="17">
        <v>45292</v>
      </c>
    </row>
    <row r="3" spans="1:7" hidden="1">
      <c r="A3" s="15">
        <v>4002</v>
      </c>
      <c r="B3" s="15" t="s">
        <v>10</v>
      </c>
      <c r="C3" s="15" t="s">
        <v>11</v>
      </c>
      <c r="D3" s="15" t="s">
        <v>12</v>
      </c>
      <c r="E3" s="15">
        <v>20</v>
      </c>
      <c r="F3" s="15">
        <v>10</v>
      </c>
      <c r="G3" s="17">
        <v>45323</v>
      </c>
    </row>
    <row r="4" spans="1:7" hidden="1">
      <c r="A4" s="15">
        <v>4003</v>
      </c>
      <c r="B4" s="15" t="s">
        <v>13</v>
      </c>
      <c r="C4" s="15" t="s">
        <v>14</v>
      </c>
      <c r="D4" s="15" t="s">
        <v>15</v>
      </c>
      <c r="E4" s="15">
        <v>15</v>
      </c>
      <c r="F4" s="15">
        <v>25</v>
      </c>
      <c r="G4" s="17">
        <v>45352</v>
      </c>
    </row>
    <row r="5" spans="1:7" hidden="1">
      <c r="A5" s="15">
        <v>4004</v>
      </c>
      <c r="B5" s="15" t="s">
        <v>16</v>
      </c>
      <c r="C5" s="15" t="s">
        <v>17</v>
      </c>
      <c r="D5" s="15" t="s">
        <v>9</v>
      </c>
      <c r="E5" s="15">
        <v>5</v>
      </c>
      <c r="F5" s="15">
        <v>50</v>
      </c>
      <c r="G5" s="17">
        <v>45383</v>
      </c>
    </row>
    <row r="6" spans="1:7" hidden="1">
      <c r="A6" s="15">
        <v>4005</v>
      </c>
      <c r="B6" s="15" t="s">
        <v>18</v>
      </c>
      <c r="C6" s="15" t="s">
        <v>8</v>
      </c>
      <c r="D6" s="15" t="s">
        <v>19</v>
      </c>
      <c r="E6" s="15">
        <v>30</v>
      </c>
      <c r="F6" s="15">
        <v>5</v>
      </c>
      <c r="G6" s="17">
        <v>45413</v>
      </c>
    </row>
    <row r="7" spans="1:7" hidden="1">
      <c r="A7" s="15">
        <v>4006</v>
      </c>
      <c r="B7" s="15" t="s">
        <v>20</v>
      </c>
      <c r="C7" s="15" t="s">
        <v>11</v>
      </c>
      <c r="D7" s="15" t="s">
        <v>9</v>
      </c>
      <c r="E7" s="15">
        <v>12</v>
      </c>
      <c r="F7" s="15">
        <v>50</v>
      </c>
      <c r="G7" s="17">
        <v>45444</v>
      </c>
    </row>
    <row r="8" spans="1:7" hidden="1">
      <c r="A8" s="15">
        <v>4007</v>
      </c>
      <c r="B8" s="15" t="s">
        <v>21</v>
      </c>
      <c r="C8" s="15" t="s">
        <v>14</v>
      </c>
      <c r="D8" s="15" t="s">
        <v>22</v>
      </c>
      <c r="E8" s="15">
        <v>25</v>
      </c>
      <c r="F8" s="15">
        <v>8</v>
      </c>
      <c r="G8" s="17">
        <v>45474</v>
      </c>
    </row>
    <row r="9" spans="1:7" hidden="1">
      <c r="A9" s="15">
        <v>4008</v>
      </c>
      <c r="B9" s="15" t="s">
        <v>23</v>
      </c>
      <c r="C9" s="15" t="s">
        <v>17</v>
      </c>
      <c r="D9" s="15" t="s">
        <v>12</v>
      </c>
      <c r="E9" s="15">
        <v>18</v>
      </c>
      <c r="F9" s="15">
        <v>10</v>
      </c>
      <c r="G9" s="17">
        <v>45505</v>
      </c>
    </row>
    <row r="10" spans="1:7" hidden="1">
      <c r="A10" s="15">
        <v>4009</v>
      </c>
      <c r="B10" s="15" t="s">
        <v>24</v>
      </c>
      <c r="C10" s="15" t="s">
        <v>8</v>
      </c>
      <c r="D10" s="15" t="s">
        <v>15</v>
      </c>
      <c r="E10" s="15">
        <v>22</v>
      </c>
      <c r="F10" s="15">
        <v>25</v>
      </c>
      <c r="G10" s="17">
        <v>45536</v>
      </c>
    </row>
    <row r="11" spans="1:7" hidden="1">
      <c r="A11" s="15">
        <v>4010</v>
      </c>
      <c r="B11" s="15" t="s">
        <v>25</v>
      </c>
      <c r="C11" s="15" t="s">
        <v>11</v>
      </c>
      <c r="D11" s="15" t="s">
        <v>9</v>
      </c>
      <c r="E11" s="15">
        <v>8</v>
      </c>
      <c r="F11" s="15">
        <v>50</v>
      </c>
      <c r="G11" s="17">
        <v>45566</v>
      </c>
    </row>
    <row r="12" spans="1:7" hidden="1">
      <c r="A12" s="15">
        <v>4011</v>
      </c>
      <c r="B12" s="15" t="s">
        <v>26</v>
      </c>
      <c r="C12" s="15" t="s">
        <v>14</v>
      </c>
      <c r="D12" s="15" t="s">
        <v>19</v>
      </c>
      <c r="E12" s="15">
        <v>40</v>
      </c>
      <c r="F12" s="15">
        <v>5</v>
      </c>
      <c r="G12" s="17">
        <v>45597</v>
      </c>
    </row>
    <row r="13" spans="1:7" hidden="1">
      <c r="A13" s="15">
        <v>4012</v>
      </c>
      <c r="B13" s="15" t="s">
        <v>27</v>
      </c>
      <c r="C13" s="15" t="s">
        <v>17</v>
      </c>
      <c r="D13" s="15" t="s">
        <v>22</v>
      </c>
      <c r="E13" s="15">
        <v>35</v>
      </c>
      <c r="F13" s="15">
        <v>8</v>
      </c>
      <c r="G13" s="17">
        <v>45627</v>
      </c>
    </row>
    <row r="14" spans="1:7" hidden="1">
      <c r="A14" s="15">
        <v>4013</v>
      </c>
      <c r="B14" s="15" t="s">
        <v>28</v>
      </c>
      <c r="C14" s="15" t="s">
        <v>8</v>
      </c>
      <c r="D14" s="15" t="s">
        <v>9</v>
      </c>
      <c r="E14" s="15">
        <v>14</v>
      </c>
      <c r="F14" s="15">
        <v>50</v>
      </c>
      <c r="G14" s="15" t="s">
        <v>29</v>
      </c>
    </row>
    <row r="15" spans="1:7" hidden="1">
      <c r="A15" s="15">
        <v>4014</v>
      </c>
      <c r="B15" s="15" t="s">
        <v>30</v>
      </c>
      <c r="C15" s="15" t="s">
        <v>11</v>
      </c>
      <c r="D15" s="15" t="s">
        <v>12</v>
      </c>
      <c r="E15" s="15">
        <v>28</v>
      </c>
      <c r="F15" s="15">
        <v>10</v>
      </c>
      <c r="G15" s="15" t="s">
        <v>31</v>
      </c>
    </row>
    <row r="16" spans="1:7" hidden="1">
      <c r="A16" s="15">
        <v>4015</v>
      </c>
      <c r="B16" s="15" t="s">
        <v>32</v>
      </c>
      <c r="C16" s="15" t="s">
        <v>14</v>
      </c>
      <c r="D16" s="15" t="s">
        <v>15</v>
      </c>
      <c r="E16" s="15">
        <v>12</v>
      </c>
      <c r="F16" s="15">
        <v>25</v>
      </c>
      <c r="G16" s="15" t="s">
        <v>33</v>
      </c>
    </row>
    <row r="17" spans="1:7" hidden="1">
      <c r="A17" s="15">
        <v>4016</v>
      </c>
      <c r="B17" s="15" t="s">
        <v>34</v>
      </c>
      <c r="C17" s="15" t="s">
        <v>17</v>
      </c>
      <c r="D17" s="15" t="s">
        <v>19</v>
      </c>
      <c r="E17" s="15">
        <v>25</v>
      </c>
      <c r="F17" s="15">
        <v>5</v>
      </c>
      <c r="G17" s="15" t="s">
        <v>35</v>
      </c>
    </row>
    <row r="18" spans="1:7" hidden="1">
      <c r="A18" s="15">
        <v>4017</v>
      </c>
      <c r="B18" s="15" t="s">
        <v>36</v>
      </c>
      <c r="C18" s="15" t="s">
        <v>8</v>
      </c>
      <c r="D18" s="15" t="s">
        <v>22</v>
      </c>
      <c r="E18" s="15">
        <v>20</v>
      </c>
      <c r="F18" s="15">
        <v>8</v>
      </c>
      <c r="G18" s="15" t="s">
        <v>37</v>
      </c>
    </row>
    <row r="19" spans="1:7">
      <c r="A19" s="15">
        <v>4018</v>
      </c>
      <c r="B19" s="15" t="s">
        <v>38</v>
      </c>
      <c r="C19" s="15" t="s">
        <v>11</v>
      </c>
      <c r="D19" s="15" t="s">
        <v>9</v>
      </c>
      <c r="E19" s="15">
        <v>10</v>
      </c>
      <c r="F19" s="16">
        <v>50</v>
      </c>
      <c r="G19" s="15" t="s">
        <v>39</v>
      </c>
    </row>
    <row r="20" spans="1:7" hidden="1">
      <c r="A20" s="15">
        <v>4019</v>
      </c>
      <c r="B20" s="15" t="s">
        <v>40</v>
      </c>
      <c r="C20" s="15" t="s">
        <v>14</v>
      </c>
      <c r="D20" s="15" t="s">
        <v>12</v>
      </c>
      <c r="E20" s="15">
        <v>15</v>
      </c>
      <c r="F20" s="15">
        <v>10</v>
      </c>
      <c r="G20" s="15" t="s">
        <v>41</v>
      </c>
    </row>
    <row r="21" spans="1:7" hidden="1">
      <c r="A21" s="15">
        <v>4020</v>
      </c>
      <c r="B21" s="15" t="s">
        <v>42</v>
      </c>
      <c r="C21" s="15" t="s">
        <v>17</v>
      </c>
      <c r="D21" s="15" t="s">
        <v>15</v>
      </c>
      <c r="E21" s="15">
        <v>18</v>
      </c>
      <c r="F21" s="15">
        <v>25</v>
      </c>
      <c r="G21" s="15" t="s">
        <v>43</v>
      </c>
    </row>
    <row r="22" spans="1:7" hidden="1">
      <c r="A22" s="15">
        <v>4021</v>
      </c>
      <c r="B22" s="15" t="s">
        <v>44</v>
      </c>
      <c r="C22" s="15" t="s">
        <v>8</v>
      </c>
      <c r="D22" s="15" t="s">
        <v>9</v>
      </c>
      <c r="E22" s="15">
        <v>9</v>
      </c>
      <c r="F22" s="15">
        <v>50</v>
      </c>
      <c r="G22" s="15" t="s">
        <v>45</v>
      </c>
    </row>
    <row r="23" spans="1:7" hidden="1">
      <c r="A23" s="15">
        <v>4022</v>
      </c>
      <c r="B23" s="15" t="s">
        <v>46</v>
      </c>
      <c r="C23" s="15" t="s">
        <v>11</v>
      </c>
      <c r="D23" s="15" t="s">
        <v>19</v>
      </c>
      <c r="E23" s="15">
        <v>35</v>
      </c>
      <c r="F23" s="15">
        <v>5</v>
      </c>
      <c r="G23" s="15" t="s">
        <v>47</v>
      </c>
    </row>
    <row r="24" spans="1:7" hidden="1">
      <c r="A24" s="15">
        <v>4023</v>
      </c>
      <c r="B24" s="15" t="s">
        <v>48</v>
      </c>
      <c r="C24" s="15" t="s">
        <v>14</v>
      </c>
      <c r="D24" s="15" t="s">
        <v>22</v>
      </c>
      <c r="E24" s="15">
        <v>30</v>
      </c>
      <c r="F24" s="15">
        <v>8</v>
      </c>
      <c r="G24" s="15" t="s">
        <v>49</v>
      </c>
    </row>
    <row r="25" spans="1:7" hidden="1">
      <c r="A25" s="15">
        <v>4024</v>
      </c>
      <c r="B25" s="15" t="s">
        <v>50</v>
      </c>
      <c r="C25" s="15" t="s">
        <v>17</v>
      </c>
      <c r="D25" s="15" t="s">
        <v>9</v>
      </c>
      <c r="E25" s="15">
        <v>11</v>
      </c>
      <c r="F25" s="15">
        <v>50</v>
      </c>
      <c r="G25" s="15" t="s">
        <v>51</v>
      </c>
    </row>
    <row r="26" spans="1:7" hidden="1">
      <c r="A26" s="15">
        <v>4025</v>
      </c>
      <c r="B26" s="15" t="s">
        <v>52</v>
      </c>
      <c r="C26" s="15" t="s">
        <v>8</v>
      </c>
      <c r="D26" s="15" t="s">
        <v>12</v>
      </c>
      <c r="E26" s="15">
        <v>14</v>
      </c>
      <c r="F26" s="15">
        <v>10</v>
      </c>
      <c r="G26" s="15" t="s">
        <v>53</v>
      </c>
    </row>
    <row r="27" spans="1:7" hidden="1">
      <c r="A27" s="15">
        <v>4026</v>
      </c>
      <c r="B27" s="15" t="s">
        <v>54</v>
      </c>
      <c r="C27" s="15" t="s">
        <v>11</v>
      </c>
      <c r="D27" s="15" t="s">
        <v>15</v>
      </c>
      <c r="E27" s="15">
        <v>16</v>
      </c>
      <c r="F27" s="15">
        <v>25</v>
      </c>
      <c r="G27" s="15" t="s">
        <v>55</v>
      </c>
    </row>
    <row r="28" spans="1:7" hidden="1">
      <c r="A28" s="15">
        <v>4027</v>
      </c>
      <c r="B28" s="15" t="s">
        <v>56</v>
      </c>
      <c r="C28" s="15" t="s">
        <v>14</v>
      </c>
      <c r="D28" s="15" t="s">
        <v>19</v>
      </c>
      <c r="E28" s="15">
        <v>22</v>
      </c>
      <c r="F28" s="15">
        <v>5</v>
      </c>
      <c r="G28" s="15" t="s">
        <v>57</v>
      </c>
    </row>
    <row r="29" spans="1:7" hidden="1">
      <c r="A29" s="15">
        <v>4028</v>
      </c>
      <c r="B29" s="15" t="s">
        <v>58</v>
      </c>
      <c r="C29" s="15" t="s">
        <v>17</v>
      </c>
      <c r="D29" s="15" t="s">
        <v>22</v>
      </c>
      <c r="E29" s="15">
        <v>27</v>
      </c>
      <c r="F29" s="15">
        <v>8</v>
      </c>
      <c r="G29" s="15" t="s">
        <v>59</v>
      </c>
    </row>
    <row r="30" spans="1:7" hidden="1">
      <c r="A30" s="15">
        <v>4029</v>
      </c>
      <c r="B30" s="15" t="s">
        <v>60</v>
      </c>
      <c r="C30" s="15" t="s">
        <v>8</v>
      </c>
      <c r="D30" s="15" t="s">
        <v>9</v>
      </c>
      <c r="E30" s="15">
        <v>13</v>
      </c>
      <c r="F30" s="15">
        <v>50</v>
      </c>
      <c r="G30" s="15" t="s">
        <v>61</v>
      </c>
    </row>
    <row r="31" spans="1:7" hidden="1">
      <c r="A31" s="15">
        <v>4030</v>
      </c>
      <c r="B31" s="15" t="s">
        <v>62</v>
      </c>
      <c r="C31" s="15" t="s">
        <v>11</v>
      </c>
      <c r="D31" s="15" t="s">
        <v>12</v>
      </c>
      <c r="E31" s="15">
        <v>32</v>
      </c>
      <c r="F31" s="15">
        <v>10</v>
      </c>
      <c r="G31" s="15" t="s">
        <v>63</v>
      </c>
    </row>
    <row r="32" spans="1:7" hidden="1">
      <c r="A32" s="15">
        <v>4031</v>
      </c>
      <c r="B32" s="15" t="s">
        <v>64</v>
      </c>
      <c r="C32" s="15" t="s">
        <v>14</v>
      </c>
      <c r="D32" s="15" t="s">
        <v>15</v>
      </c>
      <c r="E32" s="15">
        <v>10</v>
      </c>
      <c r="F32" s="15">
        <v>25</v>
      </c>
      <c r="G32" s="15" t="s">
        <v>65</v>
      </c>
    </row>
    <row r="33" spans="1:7" hidden="1">
      <c r="A33" s="15">
        <v>4032</v>
      </c>
      <c r="B33" s="15" t="s">
        <v>66</v>
      </c>
      <c r="C33" s="15" t="s">
        <v>17</v>
      </c>
      <c r="D33" s="15" t="s">
        <v>19</v>
      </c>
      <c r="E33" s="15">
        <v>18</v>
      </c>
      <c r="F33" s="15">
        <v>5</v>
      </c>
      <c r="G33" s="17">
        <v>45293</v>
      </c>
    </row>
    <row r="34" spans="1:7" hidden="1">
      <c r="A34" s="15">
        <v>4033</v>
      </c>
      <c r="B34" s="15" t="s">
        <v>67</v>
      </c>
      <c r="C34" s="15" t="s">
        <v>8</v>
      </c>
      <c r="D34" s="15" t="s">
        <v>22</v>
      </c>
      <c r="E34" s="15">
        <v>22</v>
      </c>
      <c r="F34" s="15">
        <v>8</v>
      </c>
      <c r="G34" s="17">
        <v>45324</v>
      </c>
    </row>
    <row r="35" spans="1:7" hidden="1">
      <c r="A35" s="15">
        <v>4034</v>
      </c>
      <c r="B35" s="15" t="s">
        <v>68</v>
      </c>
      <c r="C35" s="15" t="s">
        <v>11</v>
      </c>
      <c r="D35" s="15" t="s">
        <v>9</v>
      </c>
      <c r="E35" s="15">
        <v>17</v>
      </c>
      <c r="F35" s="15">
        <v>50</v>
      </c>
      <c r="G35" s="17">
        <v>45353</v>
      </c>
    </row>
    <row r="36" spans="1:7" hidden="1">
      <c r="A36" s="15">
        <v>4035</v>
      </c>
      <c r="B36" s="15" t="s">
        <v>69</v>
      </c>
      <c r="C36" s="15" t="s">
        <v>14</v>
      </c>
      <c r="D36" s="15" t="s">
        <v>12</v>
      </c>
      <c r="E36" s="15">
        <v>19</v>
      </c>
      <c r="F36" s="15">
        <v>10</v>
      </c>
      <c r="G36" s="17">
        <v>45384</v>
      </c>
    </row>
    <row r="37" spans="1:7" hidden="1">
      <c r="A37" s="15">
        <v>4036</v>
      </c>
      <c r="B37" s="15" t="s">
        <v>70</v>
      </c>
      <c r="C37" s="15" t="s">
        <v>17</v>
      </c>
      <c r="D37" s="15" t="s">
        <v>15</v>
      </c>
      <c r="E37" s="15">
        <v>15</v>
      </c>
      <c r="F37" s="15">
        <v>25</v>
      </c>
      <c r="G37" s="17">
        <v>45414</v>
      </c>
    </row>
    <row r="38" spans="1:7" hidden="1">
      <c r="A38" s="15">
        <v>4037</v>
      </c>
      <c r="B38" s="15" t="s">
        <v>71</v>
      </c>
      <c r="C38" s="15" t="s">
        <v>8</v>
      </c>
      <c r="D38" s="15" t="s">
        <v>19</v>
      </c>
      <c r="E38" s="15">
        <v>28</v>
      </c>
      <c r="F38" s="15">
        <v>5</v>
      </c>
      <c r="G38" s="17">
        <v>45445</v>
      </c>
    </row>
    <row r="39" spans="1:7" hidden="1">
      <c r="A39" s="15">
        <v>4038</v>
      </c>
      <c r="B39" s="15" t="s">
        <v>72</v>
      </c>
      <c r="C39" s="15" t="s">
        <v>11</v>
      </c>
      <c r="D39" s="15" t="s">
        <v>22</v>
      </c>
      <c r="E39" s="15">
        <v>24</v>
      </c>
      <c r="F39" s="15">
        <v>8</v>
      </c>
      <c r="G39" s="17">
        <v>45475</v>
      </c>
    </row>
    <row r="40" spans="1:7" hidden="1">
      <c r="A40" s="15">
        <v>4039</v>
      </c>
      <c r="B40" s="15" t="s">
        <v>73</v>
      </c>
      <c r="C40" s="15" t="s">
        <v>14</v>
      </c>
      <c r="D40" s="15" t="s">
        <v>9</v>
      </c>
      <c r="E40" s="15">
        <v>16</v>
      </c>
      <c r="F40" s="15">
        <v>50</v>
      </c>
      <c r="G40" s="17">
        <v>45506</v>
      </c>
    </row>
    <row r="41" spans="1:7" hidden="1">
      <c r="A41" s="15">
        <v>4040</v>
      </c>
      <c r="B41" s="15" t="s">
        <v>74</v>
      </c>
      <c r="C41" s="15" t="s">
        <v>17</v>
      </c>
      <c r="D41" s="15" t="s">
        <v>12</v>
      </c>
      <c r="E41" s="15">
        <v>27</v>
      </c>
      <c r="F41" s="15">
        <v>10</v>
      </c>
      <c r="G41" s="17">
        <v>45537</v>
      </c>
    </row>
    <row r="42" spans="1:7" hidden="1">
      <c r="A42" s="15">
        <v>4041</v>
      </c>
      <c r="B42" s="15" t="s">
        <v>75</v>
      </c>
      <c r="C42" s="15" t="s">
        <v>8</v>
      </c>
      <c r="D42" s="15" t="s">
        <v>15</v>
      </c>
      <c r="E42" s="15">
        <v>21</v>
      </c>
      <c r="F42" s="15">
        <v>25</v>
      </c>
      <c r="G42" s="17">
        <v>45567</v>
      </c>
    </row>
    <row r="43" spans="1:7" hidden="1">
      <c r="A43" s="15">
        <v>4042</v>
      </c>
      <c r="B43" s="15" t="s">
        <v>76</v>
      </c>
      <c r="C43" s="15" t="s">
        <v>11</v>
      </c>
      <c r="D43" s="15" t="s">
        <v>19</v>
      </c>
      <c r="E43" s="15">
        <v>30</v>
      </c>
      <c r="F43" s="15">
        <v>5</v>
      </c>
      <c r="G43" s="17">
        <v>45598</v>
      </c>
    </row>
    <row r="44" spans="1:7" hidden="1">
      <c r="A44" s="15">
        <v>4043</v>
      </c>
      <c r="B44" s="15" t="s">
        <v>77</v>
      </c>
      <c r="C44" s="15" t="s">
        <v>14</v>
      </c>
      <c r="D44" s="15" t="s">
        <v>22</v>
      </c>
      <c r="E44" s="15">
        <v>26</v>
      </c>
      <c r="F44" s="15">
        <v>8</v>
      </c>
      <c r="G44" s="17">
        <v>45628</v>
      </c>
    </row>
    <row r="45" spans="1:7" hidden="1">
      <c r="A45" s="15">
        <v>4044</v>
      </c>
      <c r="B45" s="15" t="s">
        <v>78</v>
      </c>
      <c r="C45" s="15" t="s">
        <v>17</v>
      </c>
      <c r="D45" s="15" t="s">
        <v>9</v>
      </c>
      <c r="E45" s="15">
        <v>14</v>
      </c>
      <c r="F45" s="15">
        <v>50</v>
      </c>
      <c r="G45" s="15" t="s">
        <v>79</v>
      </c>
    </row>
    <row r="46" spans="1:7" hidden="1">
      <c r="A46" s="15">
        <v>4045</v>
      </c>
      <c r="B46" s="15" t="s">
        <v>80</v>
      </c>
      <c r="C46" s="15" t="s">
        <v>8</v>
      </c>
      <c r="D46" s="15" t="s">
        <v>12</v>
      </c>
      <c r="E46" s="15">
        <v>20</v>
      </c>
      <c r="F46" s="15">
        <v>10</v>
      </c>
      <c r="G46" s="15" t="s">
        <v>81</v>
      </c>
    </row>
    <row r="47" spans="1:7" hidden="1">
      <c r="A47" s="15">
        <v>4046</v>
      </c>
      <c r="B47" s="15" t="s">
        <v>82</v>
      </c>
      <c r="C47" s="15" t="s">
        <v>11</v>
      </c>
      <c r="D47" s="15" t="s">
        <v>15</v>
      </c>
      <c r="E47" s="15">
        <v>17</v>
      </c>
      <c r="F47" s="15">
        <v>25</v>
      </c>
      <c r="G47" s="15" t="s">
        <v>83</v>
      </c>
    </row>
    <row r="48" spans="1:7" hidden="1">
      <c r="A48" s="15">
        <v>4047</v>
      </c>
      <c r="B48" s="15" t="s">
        <v>84</v>
      </c>
      <c r="C48" s="15" t="s">
        <v>14</v>
      </c>
      <c r="D48" s="15" t="s">
        <v>19</v>
      </c>
      <c r="E48" s="15">
        <v>19</v>
      </c>
      <c r="F48" s="15">
        <v>5</v>
      </c>
      <c r="G48" s="15" t="s">
        <v>85</v>
      </c>
    </row>
    <row r="49" spans="1:7" hidden="1">
      <c r="A49" s="15">
        <v>4048</v>
      </c>
      <c r="B49" s="15" t="s">
        <v>86</v>
      </c>
      <c r="C49" s="15" t="s">
        <v>17</v>
      </c>
      <c r="D49" s="15" t="s">
        <v>22</v>
      </c>
      <c r="E49" s="15">
        <v>32</v>
      </c>
      <c r="F49" s="15">
        <v>8</v>
      </c>
      <c r="G49" s="15" t="s">
        <v>87</v>
      </c>
    </row>
    <row r="50" spans="1:7" hidden="1">
      <c r="A50" s="15">
        <v>4049</v>
      </c>
      <c r="B50" s="15" t="s">
        <v>88</v>
      </c>
      <c r="C50" s="15" t="s">
        <v>8</v>
      </c>
      <c r="D50" s="15" t="s">
        <v>9</v>
      </c>
      <c r="E50" s="15">
        <v>12</v>
      </c>
      <c r="F50" s="15">
        <v>50</v>
      </c>
      <c r="G50" s="15" t="s">
        <v>89</v>
      </c>
    </row>
    <row r="51" spans="1:7" hidden="1">
      <c r="A51" s="15">
        <v>4050</v>
      </c>
      <c r="B51" s="15" t="s">
        <v>90</v>
      </c>
      <c r="C51" s="15" t="s">
        <v>11</v>
      </c>
      <c r="D51" s="15" t="s">
        <v>12</v>
      </c>
      <c r="E51" s="15">
        <v>25</v>
      </c>
      <c r="F51" s="15">
        <v>10</v>
      </c>
      <c r="G51" s="15" t="s">
        <v>91</v>
      </c>
    </row>
    <row r="52" spans="1:7" hidden="1">
      <c r="A52" s="15">
        <v>4051</v>
      </c>
      <c r="B52" s="15" t="s">
        <v>7</v>
      </c>
      <c r="C52" s="15" t="s">
        <v>8</v>
      </c>
      <c r="D52" s="15" t="s">
        <v>15</v>
      </c>
      <c r="E52" s="15">
        <v>18</v>
      </c>
      <c r="F52" s="15">
        <v>25</v>
      </c>
      <c r="G52" s="15" t="s">
        <v>92</v>
      </c>
    </row>
    <row r="53" spans="1:7" hidden="1">
      <c r="A53" s="15">
        <v>4052</v>
      </c>
      <c r="B53" s="15" t="s">
        <v>10</v>
      </c>
      <c r="C53" s="15" t="s">
        <v>11</v>
      </c>
      <c r="D53" s="15" t="s">
        <v>9</v>
      </c>
      <c r="E53" s="15">
        <v>14</v>
      </c>
      <c r="F53" s="15">
        <v>50</v>
      </c>
      <c r="G53" s="15" t="s">
        <v>93</v>
      </c>
    </row>
    <row r="54" spans="1:7" hidden="1">
      <c r="A54" s="15">
        <v>4053</v>
      </c>
      <c r="B54" s="15" t="s">
        <v>13</v>
      </c>
      <c r="C54" s="15" t="s">
        <v>14</v>
      </c>
      <c r="D54" s="15" t="s">
        <v>12</v>
      </c>
      <c r="E54" s="15">
        <v>22</v>
      </c>
      <c r="F54" s="15">
        <v>10</v>
      </c>
      <c r="G54" s="15" t="s">
        <v>94</v>
      </c>
    </row>
    <row r="55" spans="1:7" hidden="1">
      <c r="A55" s="15">
        <v>4054</v>
      </c>
      <c r="B55" s="15" t="s">
        <v>16</v>
      </c>
      <c r="C55" s="15" t="s">
        <v>17</v>
      </c>
      <c r="D55" s="15" t="s">
        <v>19</v>
      </c>
      <c r="E55" s="15">
        <v>26</v>
      </c>
      <c r="F55" s="15">
        <v>5</v>
      </c>
      <c r="G55" s="15" t="s">
        <v>95</v>
      </c>
    </row>
    <row r="56" spans="1:7" hidden="1">
      <c r="A56" s="15">
        <v>4055</v>
      </c>
      <c r="B56" s="15" t="s">
        <v>18</v>
      </c>
      <c r="C56" s="15" t="s">
        <v>8</v>
      </c>
      <c r="D56" s="15" t="s">
        <v>22</v>
      </c>
      <c r="E56" s="15">
        <v>28</v>
      </c>
      <c r="F56" s="15">
        <v>8</v>
      </c>
      <c r="G56" s="15" t="s">
        <v>96</v>
      </c>
    </row>
    <row r="57" spans="1:7" hidden="1">
      <c r="A57" s="15">
        <v>4056</v>
      </c>
      <c r="B57" s="15" t="s">
        <v>20</v>
      </c>
      <c r="C57" s="15" t="s">
        <v>11</v>
      </c>
      <c r="D57" s="15" t="s">
        <v>15</v>
      </c>
      <c r="E57" s="15">
        <v>16</v>
      </c>
      <c r="F57" s="15">
        <v>25</v>
      </c>
      <c r="G57" s="15" t="s">
        <v>97</v>
      </c>
    </row>
    <row r="58" spans="1:7" hidden="1">
      <c r="A58" s="15">
        <v>4057</v>
      </c>
      <c r="B58" s="15" t="s">
        <v>21</v>
      </c>
      <c r="C58" s="15" t="s">
        <v>14</v>
      </c>
      <c r="D58" s="15" t="s">
        <v>9</v>
      </c>
      <c r="E58" s="15">
        <v>20</v>
      </c>
      <c r="F58" s="15">
        <v>50</v>
      </c>
      <c r="G58" s="15" t="s">
        <v>98</v>
      </c>
    </row>
    <row r="59" spans="1:7" hidden="1">
      <c r="A59" s="15">
        <v>4058</v>
      </c>
      <c r="B59" s="15" t="s">
        <v>23</v>
      </c>
      <c r="C59" s="15" t="s">
        <v>17</v>
      </c>
      <c r="D59" s="15" t="s">
        <v>12</v>
      </c>
      <c r="E59" s="15">
        <v>18</v>
      </c>
      <c r="F59" s="15">
        <v>10</v>
      </c>
      <c r="G59" s="15" t="s">
        <v>99</v>
      </c>
    </row>
    <row r="60" spans="1:7" hidden="1">
      <c r="A60" s="15">
        <v>4059</v>
      </c>
      <c r="B60" s="15" t="s">
        <v>24</v>
      </c>
      <c r="C60" s="15" t="s">
        <v>8</v>
      </c>
      <c r="D60" s="15" t="s">
        <v>19</v>
      </c>
      <c r="E60" s="15">
        <v>24</v>
      </c>
      <c r="F60" s="15">
        <v>5</v>
      </c>
      <c r="G60" s="15" t="s">
        <v>100</v>
      </c>
    </row>
    <row r="61" spans="1:7" hidden="1">
      <c r="A61" s="15">
        <v>4060</v>
      </c>
      <c r="B61" s="15" t="s">
        <v>25</v>
      </c>
      <c r="C61" s="15" t="s">
        <v>11</v>
      </c>
      <c r="D61" s="15" t="s">
        <v>22</v>
      </c>
      <c r="E61" s="15">
        <v>30</v>
      </c>
      <c r="F61" s="15">
        <v>8</v>
      </c>
      <c r="G61" s="15" t="s">
        <v>101</v>
      </c>
    </row>
    <row r="62" spans="1:7" hidden="1">
      <c r="A62" s="15">
        <v>4061</v>
      </c>
      <c r="B62" s="15" t="s">
        <v>26</v>
      </c>
      <c r="C62" s="15" t="s">
        <v>14</v>
      </c>
      <c r="D62" s="15" t="s">
        <v>9</v>
      </c>
      <c r="E62" s="15">
        <v>12</v>
      </c>
      <c r="F62" s="15">
        <v>50</v>
      </c>
      <c r="G62" s="17">
        <v>45294</v>
      </c>
    </row>
    <row r="63" spans="1:7" hidden="1">
      <c r="A63" s="15">
        <v>4062</v>
      </c>
      <c r="B63" s="15" t="s">
        <v>27</v>
      </c>
      <c r="C63" s="15" t="s">
        <v>17</v>
      </c>
      <c r="D63" s="15" t="s">
        <v>15</v>
      </c>
      <c r="E63" s="15">
        <v>15</v>
      </c>
      <c r="F63" s="15">
        <v>25</v>
      </c>
      <c r="G63" s="17">
        <v>45325</v>
      </c>
    </row>
    <row r="64" spans="1:7" hidden="1">
      <c r="A64" s="15">
        <v>4063</v>
      </c>
      <c r="B64" s="15" t="s">
        <v>28</v>
      </c>
      <c r="C64" s="15" t="s">
        <v>8</v>
      </c>
      <c r="D64" s="15" t="s">
        <v>12</v>
      </c>
      <c r="E64" s="15">
        <v>20</v>
      </c>
      <c r="F64" s="15">
        <v>10</v>
      </c>
      <c r="G64" s="17">
        <v>45354</v>
      </c>
    </row>
    <row r="65" spans="1:7" hidden="1">
      <c r="A65" s="15">
        <v>4064</v>
      </c>
      <c r="B65" s="15" t="s">
        <v>30</v>
      </c>
      <c r="C65" s="15" t="s">
        <v>11</v>
      </c>
      <c r="D65" s="15" t="s">
        <v>19</v>
      </c>
      <c r="E65" s="15">
        <v>22</v>
      </c>
      <c r="F65" s="15">
        <v>5</v>
      </c>
      <c r="G65" s="17">
        <v>45385</v>
      </c>
    </row>
    <row r="66" spans="1:7" hidden="1">
      <c r="A66" s="15">
        <v>4065</v>
      </c>
      <c r="B66" s="15" t="s">
        <v>32</v>
      </c>
      <c r="C66" s="15" t="s">
        <v>14</v>
      </c>
      <c r="D66" s="15" t="s">
        <v>22</v>
      </c>
      <c r="E66" s="15">
        <v>26</v>
      </c>
      <c r="F66" s="15">
        <v>8</v>
      </c>
      <c r="G66" s="17">
        <v>45415</v>
      </c>
    </row>
    <row r="67" spans="1:7" hidden="1">
      <c r="A67" s="15">
        <v>4066</v>
      </c>
      <c r="B67" s="15" t="s">
        <v>34</v>
      </c>
      <c r="C67" s="15" t="s">
        <v>17</v>
      </c>
      <c r="D67" s="15" t="s">
        <v>9</v>
      </c>
      <c r="E67" s="15">
        <v>18</v>
      </c>
      <c r="F67" s="15">
        <v>50</v>
      </c>
      <c r="G67" s="17">
        <v>45446</v>
      </c>
    </row>
    <row r="68" spans="1:7" hidden="1">
      <c r="A68" s="15">
        <v>4067</v>
      </c>
      <c r="B68" s="15" t="s">
        <v>36</v>
      </c>
      <c r="C68" s="15" t="s">
        <v>8</v>
      </c>
      <c r="D68" s="15" t="s">
        <v>15</v>
      </c>
      <c r="E68" s="15">
        <v>14</v>
      </c>
      <c r="F68" s="15">
        <v>25</v>
      </c>
      <c r="G68" s="17">
        <v>45476</v>
      </c>
    </row>
    <row r="69" spans="1:7" hidden="1">
      <c r="A69" s="15">
        <v>4068</v>
      </c>
      <c r="B69" s="15" t="s">
        <v>38</v>
      </c>
      <c r="C69" s="15" t="s">
        <v>11</v>
      </c>
      <c r="D69" s="15" t="s">
        <v>12</v>
      </c>
      <c r="E69" s="15">
        <v>28</v>
      </c>
      <c r="F69" s="15">
        <v>10</v>
      </c>
      <c r="G69" s="17">
        <v>45507</v>
      </c>
    </row>
    <row r="70" spans="1:7" hidden="1">
      <c r="A70" s="15">
        <v>4069</v>
      </c>
      <c r="B70" s="15" t="s">
        <v>40</v>
      </c>
      <c r="C70" s="15" t="s">
        <v>14</v>
      </c>
      <c r="D70" s="15" t="s">
        <v>19</v>
      </c>
      <c r="E70" s="15">
        <v>32</v>
      </c>
      <c r="F70" s="15">
        <v>5</v>
      </c>
      <c r="G70" s="17">
        <v>45538</v>
      </c>
    </row>
    <row r="71" spans="1:7" hidden="1">
      <c r="A71" s="15">
        <v>4070</v>
      </c>
      <c r="B71" s="15" t="s">
        <v>42</v>
      </c>
      <c r="C71" s="15" t="s">
        <v>17</v>
      </c>
      <c r="D71" s="15" t="s">
        <v>22</v>
      </c>
      <c r="E71" s="15">
        <v>24</v>
      </c>
      <c r="F71" s="15">
        <v>8</v>
      </c>
      <c r="G71" s="17">
        <v>45568</v>
      </c>
    </row>
  </sheetData>
  <autoFilter ref="A1:G71" xr:uid="{E4F05E4E-2098-449A-84DD-6B93F327710E}">
    <filterColumn colId="3">
      <filters>
        <filter val="Notebook"/>
      </filters>
    </filterColumn>
    <filterColumn colId="4">
      <filters>
        <filter val="10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6142-0FD2-41F4-9141-459E0F6C86F0}">
  <dimension ref="A1:G71"/>
  <sheetViews>
    <sheetView workbookViewId="0">
      <selection activeCell="H19" sqref="H19"/>
    </sheetView>
  </sheetViews>
  <sheetFormatPr defaultColWidth="14.44140625" defaultRowHeight="14.4"/>
  <cols>
    <col min="1" max="1" width="8.88671875" bestFit="1" customWidth="1"/>
    <col min="2" max="2" width="16.33203125" bestFit="1" customWidth="1"/>
    <col min="3" max="3" width="8" bestFit="1" customWidth="1"/>
    <col min="4" max="4" width="9.5546875" bestFit="1" customWidth="1"/>
    <col min="5" max="5" width="9.21875" bestFit="1" customWidth="1"/>
    <col min="6" max="6" width="10.109375" style="4" bestFit="1" customWidth="1"/>
    <col min="7" max="7" width="11.33203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5" t="s">
        <v>5</v>
      </c>
      <c r="G1" s="5" t="s">
        <v>6</v>
      </c>
    </row>
    <row r="2" spans="1:7">
      <c r="A2" s="15">
        <v>4007</v>
      </c>
      <c r="B2" s="7" t="s">
        <v>21</v>
      </c>
      <c r="C2" s="7" t="s">
        <v>14</v>
      </c>
      <c r="D2" s="7" t="s">
        <v>22</v>
      </c>
      <c r="E2" s="6">
        <v>25</v>
      </c>
      <c r="F2" s="8">
        <v>8</v>
      </c>
      <c r="G2" s="9">
        <v>45474</v>
      </c>
    </row>
    <row r="3" spans="1:7">
      <c r="A3" s="15">
        <v>4023</v>
      </c>
      <c r="B3" s="7" t="s">
        <v>48</v>
      </c>
      <c r="C3" s="7" t="s">
        <v>14</v>
      </c>
      <c r="D3" s="7" t="s">
        <v>22</v>
      </c>
      <c r="E3" s="6">
        <v>30</v>
      </c>
      <c r="F3" s="8">
        <v>8</v>
      </c>
      <c r="G3" s="6" t="s">
        <v>49</v>
      </c>
    </row>
    <row r="4" spans="1:7">
      <c r="A4" s="15">
        <v>4043</v>
      </c>
      <c r="B4" s="7" t="s">
        <v>77</v>
      </c>
      <c r="C4" s="7" t="s">
        <v>14</v>
      </c>
      <c r="D4" s="7" t="s">
        <v>22</v>
      </c>
      <c r="E4" s="6">
        <v>26</v>
      </c>
      <c r="F4" s="8">
        <v>8</v>
      </c>
      <c r="G4" s="9">
        <v>45628</v>
      </c>
    </row>
    <row r="5" spans="1:7">
      <c r="A5" s="15">
        <v>4065</v>
      </c>
      <c r="B5" s="7" t="s">
        <v>32</v>
      </c>
      <c r="C5" s="7" t="s">
        <v>14</v>
      </c>
      <c r="D5" s="7" t="s">
        <v>22</v>
      </c>
      <c r="E5" s="6">
        <v>26</v>
      </c>
      <c r="F5" s="8">
        <v>8</v>
      </c>
      <c r="G5" s="9">
        <v>45415</v>
      </c>
    </row>
    <row r="6" spans="1:7">
      <c r="A6" s="15">
        <v>4003</v>
      </c>
      <c r="B6" s="7" t="s">
        <v>13</v>
      </c>
      <c r="C6" s="7" t="s">
        <v>14</v>
      </c>
      <c r="D6" s="7" t="s">
        <v>15</v>
      </c>
      <c r="E6" s="6">
        <v>15</v>
      </c>
      <c r="F6" s="8">
        <v>25</v>
      </c>
      <c r="G6" s="9">
        <v>45352</v>
      </c>
    </row>
    <row r="7" spans="1:7">
      <c r="A7" s="15">
        <v>4015</v>
      </c>
      <c r="B7" s="7" t="s">
        <v>32</v>
      </c>
      <c r="C7" s="7" t="s">
        <v>14</v>
      </c>
      <c r="D7" s="7" t="s">
        <v>15</v>
      </c>
      <c r="E7" s="6">
        <v>12</v>
      </c>
      <c r="F7" s="8">
        <v>25</v>
      </c>
      <c r="G7" s="6" t="s">
        <v>33</v>
      </c>
    </row>
    <row r="8" spans="1:7">
      <c r="A8" s="15">
        <v>4031</v>
      </c>
      <c r="B8" s="7" t="s">
        <v>64</v>
      </c>
      <c r="C8" s="7" t="s">
        <v>14</v>
      </c>
      <c r="D8" s="7" t="s">
        <v>15</v>
      </c>
      <c r="E8" s="6">
        <v>10</v>
      </c>
      <c r="F8" s="8">
        <v>25</v>
      </c>
      <c r="G8" s="6" t="s">
        <v>65</v>
      </c>
    </row>
    <row r="9" spans="1:7">
      <c r="A9" s="15">
        <v>4039</v>
      </c>
      <c r="B9" s="7" t="s">
        <v>73</v>
      </c>
      <c r="C9" s="7" t="s">
        <v>14</v>
      </c>
      <c r="D9" s="7" t="s">
        <v>9</v>
      </c>
      <c r="E9" s="6">
        <v>16</v>
      </c>
      <c r="F9" s="8">
        <v>50</v>
      </c>
      <c r="G9" s="9">
        <v>45506</v>
      </c>
    </row>
    <row r="10" spans="1:7">
      <c r="A10" s="15">
        <v>4057</v>
      </c>
      <c r="B10" s="7" t="s">
        <v>21</v>
      </c>
      <c r="C10" s="7" t="s">
        <v>14</v>
      </c>
      <c r="D10" s="7" t="s">
        <v>9</v>
      </c>
      <c r="E10" s="6">
        <v>20</v>
      </c>
      <c r="F10" s="8">
        <v>50</v>
      </c>
      <c r="G10" s="6" t="s">
        <v>98</v>
      </c>
    </row>
    <row r="11" spans="1:7">
      <c r="A11" s="15">
        <v>4061</v>
      </c>
      <c r="B11" s="7" t="s">
        <v>26</v>
      </c>
      <c r="C11" s="7" t="s">
        <v>14</v>
      </c>
      <c r="D11" s="7" t="s">
        <v>9</v>
      </c>
      <c r="E11" s="6">
        <v>12</v>
      </c>
      <c r="F11" s="8">
        <v>50</v>
      </c>
      <c r="G11" s="9">
        <v>45294</v>
      </c>
    </row>
    <row r="12" spans="1:7">
      <c r="A12" s="15">
        <v>4019</v>
      </c>
      <c r="B12" s="7" t="s">
        <v>40</v>
      </c>
      <c r="C12" s="7" t="s">
        <v>14</v>
      </c>
      <c r="D12" s="7" t="s">
        <v>12</v>
      </c>
      <c r="E12" s="6">
        <v>15</v>
      </c>
      <c r="F12" s="8">
        <v>10</v>
      </c>
      <c r="G12" s="6" t="s">
        <v>41</v>
      </c>
    </row>
    <row r="13" spans="1:7">
      <c r="A13" s="15">
        <v>4035</v>
      </c>
      <c r="B13" s="7" t="s">
        <v>69</v>
      </c>
      <c r="C13" s="7" t="s">
        <v>14</v>
      </c>
      <c r="D13" s="7" t="s">
        <v>12</v>
      </c>
      <c r="E13" s="6">
        <v>19</v>
      </c>
      <c r="F13" s="8">
        <v>10</v>
      </c>
      <c r="G13" s="9">
        <v>45384</v>
      </c>
    </row>
    <row r="14" spans="1:7">
      <c r="A14" s="15">
        <v>4053</v>
      </c>
      <c r="B14" s="7" t="s">
        <v>13</v>
      </c>
      <c r="C14" s="7" t="s">
        <v>14</v>
      </c>
      <c r="D14" s="7" t="s">
        <v>12</v>
      </c>
      <c r="E14" s="6">
        <v>22</v>
      </c>
      <c r="F14" s="8">
        <v>10</v>
      </c>
      <c r="G14" s="6" t="s">
        <v>94</v>
      </c>
    </row>
    <row r="15" spans="1:7">
      <c r="A15" s="15">
        <v>4011</v>
      </c>
      <c r="B15" s="7" t="s">
        <v>26</v>
      </c>
      <c r="C15" s="7" t="s">
        <v>14</v>
      </c>
      <c r="D15" s="7" t="s">
        <v>19</v>
      </c>
      <c r="E15" s="6">
        <v>40</v>
      </c>
      <c r="F15" s="8">
        <v>5</v>
      </c>
      <c r="G15" s="9">
        <v>45597</v>
      </c>
    </row>
    <row r="16" spans="1:7">
      <c r="A16" s="15">
        <v>4027</v>
      </c>
      <c r="B16" s="7" t="s">
        <v>56</v>
      </c>
      <c r="C16" s="7" t="s">
        <v>14</v>
      </c>
      <c r="D16" s="7" t="s">
        <v>19</v>
      </c>
      <c r="E16" s="6">
        <v>22</v>
      </c>
      <c r="F16" s="8">
        <v>5</v>
      </c>
      <c r="G16" s="6" t="s">
        <v>57</v>
      </c>
    </row>
    <row r="17" spans="1:7">
      <c r="A17" s="15">
        <v>4047</v>
      </c>
      <c r="B17" s="7" t="s">
        <v>84</v>
      </c>
      <c r="C17" s="7" t="s">
        <v>14</v>
      </c>
      <c r="D17" s="7" t="s">
        <v>19</v>
      </c>
      <c r="E17" s="6">
        <v>19</v>
      </c>
      <c r="F17" s="8">
        <v>5</v>
      </c>
      <c r="G17" s="6" t="s">
        <v>85</v>
      </c>
    </row>
    <row r="18" spans="1:7">
      <c r="A18" s="15">
        <v>4069</v>
      </c>
      <c r="B18" s="7" t="s">
        <v>40</v>
      </c>
      <c r="C18" s="7" t="s">
        <v>14</v>
      </c>
      <c r="D18" s="7" t="s">
        <v>19</v>
      </c>
      <c r="E18" s="6">
        <v>32</v>
      </c>
      <c r="F18" s="8">
        <v>5</v>
      </c>
      <c r="G18" s="9">
        <v>45538</v>
      </c>
    </row>
    <row r="19" spans="1:7">
      <c r="A19" s="15">
        <v>4017</v>
      </c>
      <c r="B19" s="7" t="s">
        <v>36</v>
      </c>
      <c r="C19" s="7" t="s">
        <v>8</v>
      </c>
      <c r="D19" s="7" t="s">
        <v>22</v>
      </c>
      <c r="E19" s="6">
        <v>20</v>
      </c>
      <c r="F19" s="8">
        <v>8</v>
      </c>
      <c r="G19" s="6" t="s">
        <v>37</v>
      </c>
    </row>
    <row r="20" spans="1:7">
      <c r="A20" s="15">
        <v>4033</v>
      </c>
      <c r="B20" s="7" t="s">
        <v>67</v>
      </c>
      <c r="C20" s="7" t="s">
        <v>8</v>
      </c>
      <c r="D20" s="7" t="s">
        <v>22</v>
      </c>
      <c r="E20" s="6">
        <v>22</v>
      </c>
      <c r="F20" s="8">
        <v>8</v>
      </c>
      <c r="G20" s="9">
        <v>45324</v>
      </c>
    </row>
    <row r="21" spans="1:7">
      <c r="A21" s="15">
        <v>4055</v>
      </c>
      <c r="B21" s="7" t="s">
        <v>18</v>
      </c>
      <c r="C21" s="7" t="s">
        <v>8</v>
      </c>
      <c r="D21" s="7" t="s">
        <v>22</v>
      </c>
      <c r="E21" s="6">
        <v>28</v>
      </c>
      <c r="F21" s="8">
        <v>8</v>
      </c>
      <c r="G21" s="6" t="s">
        <v>96</v>
      </c>
    </row>
    <row r="22" spans="1:7">
      <c r="A22" s="15">
        <v>4009</v>
      </c>
      <c r="B22" s="7" t="s">
        <v>24</v>
      </c>
      <c r="C22" s="7" t="s">
        <v>8</v>
      </c>
      <c r="D22" s="7" t="s">
        <v>15</v>
      </c>
      <c r="E22" s="6">
        <v>22</v>
      </c>
      <c r="F22" s="8">
        <v>25</v>
      </c>
      <c r="G22" s="9">
        <v>45536</v>
      </c>
    </row>
    <row r="23" spans="1:7">
      <c r="A23" s="15">
        <v>4041</v>
      </c>
      <c r="B23" s="7" t="s">
        <v>75</v>
      </c>
      <c r="C23" s="7" t="s">
        <v>8</v>
      </c>
      <c r="D23" s="7" t="s">
        <v>15</v>
      </c>
      <c r="E23" s="6">
        <v>21</v>
      </c>
      <c r="F23" s="8">
        <v>25</v>
      </c>
      <c r="G23" s="9">
        <v>45567</v>
      </c>
    </row>
    <row r="24" spans="1:7">
      <c r="A24" s="15">
        <v>4051</v>
      </c>
      <c r="B24" s="7" t="s">
        <v>7</v>
      </c>
      <c r="C24" s="7" t="s">
        <v>8</v>
      </c>
      <c r="D24" s="7" t="s">
        <v>15</v>
      </c>
      <c r="E24" s="6">
        <v>18</v>
      </c>
      <c r="F24" s="8">
        <v>25</v>
      </c>
      <c r="G24" s="6" t="s">
        <v>92</v>
      </c>
    </row>
    <row r="25" spans="1:7">
      <c r="A25" s="15">
        <v>4067</v>
      </c>
      <c r="B25" s="7" t="s">
        <v>36</v>
      </c>
      <c r="C25" s="7" t="s">
        <v>8</v>
      </c>
      <c r="D25" s="7" t="s">
        <v>15</v>
      </c>
      <c r="E25" s="6">
        <v>14</v>
      </c>
      <c r="F25" s="8">
        <v>25</v>
      </c>
      <c r="G25" s="9">
        <v>45476</v>
      </c>
    </row>
    <row r="26" spans="1:7">
      <c r="A26" s="15">
        <v>4001</v>
      </c>
      <c r="B26" s="7" t="s">
        <v>7</v>
      </c>
      <c r="C26" s="7" t="s">
        <v>8</v>
      </c>
      <c r="D26" s="7" t="s">
        <v>9</v>
      </c>
      <c r="E26" s="6">
        <v>10</v>
      </c>
      <c r="F26" s="8">
        <v>50</v>
      </c>
      <c r="G26" s="9">
        <v>45292</v>
      </c>
    </row>
    <row r="27" spans="1:7">
      <c r="A27" s="15">
        <v>4013</v>
      </c>
      <c r="B27" s="7" t="s">
        <v>28</v>
      </c>
      <c r="C27" s="7" t="s">
        <v>8</v>
      </c>
      <c r="D27" s="7" t="s">
        <v>9</v>
      </c>
      <c r="E27" s="6">
        <v>14</v>
      </c>
      <c r="F27" s="8">
        <v>50</v>
      </c>
      <c r="G27" s="6" t="s">
        <v>29</v>
      </c>
    </row>
    <row r="28" spans="1:7">
      <c r="A28" s="15">
        <v>4021</v>
      </c>
      <c r="B28" s="7" t="s">
        <v>44</v>
      </c>
      <c r="C28" s="7" t="s">
        <v>8</v>
      </c>
      <c r="D28" s="7" t="s">
        <v>9</v>
      </c>
      <c r="E28" s="6">
        <v>9</v>
      </c>
      <c r="F28" s="8">
        <v>50</v>
      </c>
      <c r="G28" s="6" t="s">
        <v>45</v>
      </c>
    </row>
    <row r="29" spans="1:7">
      <c r="A29" s="15">
        <v>4029</v>
      </c>
      <c r="B29" s="7" t="s">
        <v>60</v>
      </c>
      <c r="C29" s="7" t="s">
        <v>8</v>
      </c>
      <c r="D29" s="7" t="s">
        <v>9</v>
      </c>
      <c r="E29" s="6">
        <v>13</v>
      </c>
      <c r="F29" s="8">
        <v>50</v>
      </c>
      <c r="G29" s="6" t="s">
        <v>61</v>
      </c>
    </row>
    <row r="30" spans="1:7">
      <c r="A30" s="15">
        <v>4049</v>
      </c>
      <c r="B30" s="7" t="s">
        <v>88</v>
      </c>
      <c r="C30" s="7" t="s">
        <v>8</v>
      </c>
      <c r="D30" s="7" t="s">
        <v>9</v>
      </c>
      <c r="E30" s="6">
        <v>12</v>
      </c>
      <c r="F30" s="8">
        <v>50</v>
      </c>
      <c r="G30" s="6" t="s">
        <v>89</v>
      </c>
    </row>
    <row r="31" spans="1:7">
      <c r="A31" s="15">
        <v>4025</v>
      </c>
      <c r="B31" s="7" t="s">
        <v>52</v>
      </c>
      <c r="C31" s="7" t="s">
        <v>8</v>
      </c>
      <c r="D31" s="7" t="s">
        <v>12</v>
      </c>
      <c r="E31" s="6">
        <v>14</v>
      </c>
      <c r="F31" s="8">
        <v>10</v>
      </c>
      <c r="G31" s="6" t="s">
        <v>53</v>
      </c>
    </row>
    <row r="32" spans="1:7">
      <c r="A32" s="15">
        <v>4045</v>
      </c>
      <c r="B32" s="7" t="s">
        <v>80</v>
      </c>
      <c r="C32" s="7" t="s">
        <v>8</v>
      </c>
      <c r="D32" s="7" t="s">
        <v>12</v>
      </c>
      <c r="E32" s="6">
        <v>20</v>
      </c>
      <c r="F32" s="8">
        <v>10</v>
      </c>
      <c r="G32" s="6" t="s">
        <v>81</v>
      </c>
    </row>
    <row r="33" spans="1:7">
      <c r="A33" s="15">
        <v>4063</v>
      </c>
      <c r="B33" s="7" t="s">
        <v>28</v>
      </c>
      <c r="C33" s="7" t="s">
        <v>8</v>
      </c>
      <c r="D33" s="7" t="s">
        <v>12</v>
      </c>
      <c r="E33" s="6">
        <v>20</v>
      </c>
      <c r="F33" s="8">
        <v>10</v>
      </c>
      <c r="G33" s="9">
        <v>45354</v>
      </c>
    </row>
    <row r="34" spans="1:7">
      <c r="A34" s="15">
        <v>4005</v>
      </c>
      <c r="B34" s="7" t="s">
        <v>18</v>
      </c>
      <c r="C34" s="7" t="s">
        <v>8</v>
      </c>
      <c r="D34" s="7" t="s">
        <v>19</v>
      </c>
      <c r="E34" s="6">
        <v>30</v>
      </c>
      <c r="F34" s="8">
        <v>5</v>
      </c>
      <c r="G34" s="9">
        <v>45413</v>
      </c>
    </row>
    <row r="35" spans="1:7">
      <c r="A35" s="15">
        <v>4037</v>
      </c>
      <c r="B35" s="7" t="s">
        <v>71</v>
      </c>
      <c r="C35" s="7" t="s">
        <v>8</v>
      </c>
      <c r="D35" s="7" t="s">
        <v>19</v>
      </c>
      <c r="E35" s="6">
        <v>28</v>
      </c>
      <c r="F35" s="8">
        <v>5</v>
      </c>
      <c r="G35" s="9">
        <v>45445</v>
      </c>
    </row>
    <row r="36" spans="1:7">
      <c r="A36" s="15">
        <v>4059</v>
      </c>
      <c r="B36" s="7" t="s">
        <v>24</v>
      </c>
      <c r="C36" s="7" t="s">
        <v>8</v>
      </c>
      <c r="D36" s="7" t="s">
        <v>19</v>
      </c>
      <c r="E36" s="6">
        <v>24</v>
      </c>
      <c r="F36" s="8">
        <v>5</v>
      </c>
      <c r="G36" s="6" t="s">
        <v>100</v>
      </c>
    </row>
    <row r="37" spans="1:7">
      <c r="A37" s="15">
        <v>4038</v>
      </c>
      <c r="B37" s="7" t="s">
        <v>72</v>
      </c>
      <c r="C37" s="7" t="s">
        <v>11</v>
      </c>
      <c r="D37" s="7" t="s">
        <v>22</v>
      </c>
      <c r="E37" s="6">
        <v>24</v>
      </c>
      <c r="F37" s="8">
        <v>8</v>
      </c>
      <c r="G37" s="9">
        <v>45475</v>
      </c>
    </row>
    <row r="38" spans="1:7">
      <c r="A38" s="15">
        <v>4060</v>
      </c>
      <c r="B38" s="7" t="s">
        <v>25</v>
      </c>
      <c r="C38" s="7" t="s">
        <v>11</v>
      </c>
      <c r="D38" s="7" t="s">
        <v>22</v>
      </c>
      <c r="E38" s="6">
        <v>30</v>
      </c>
      <c r="F38" s="8">
        <v>8</v>
      </c>
      <c r="G38" s="6" t="s">
        <v>101</v>
      </c>
    </row>
    <row r="39" spans="1:7">
      <c r="A39" s="15">
        <v>4026</v>
      </c>
      <c r="B39" s="7" t="s">
        <v>54</v>
      </c>
      <c r="C39" s="7" t="s">
        <v>11</v>
      </c>
      <c r="D39" s="7" t="s">
        <v>15</v>
      </c>
      <c r="E39" s="6">
        <v>16</v>
      </c>
      <c r="F39" s="8">
        <v>25</v>
      </c>
      <c r="G39" s="6" t="s">
        <v>55</v>
      </c>
    </row>
    <row r="40" spans="1:7">
      <c r="A40" s="15">
        <v>4046</v>
      </c>
      <c r="B40" s="7" t="s">
        <v>82</v>
      </c>
      <c r="C40" s="7" t="s">
        <v>11</v>
      </c>
      <c r="D40" s="7" t="s">
        <v>15</v>
      </c>
      <c r="E40" s="6">
        <v>17</v>
      </c>
      <c r="F40" s="8">
        <v>25</v>
      </c>
      <c r="G40" s="6" t="s">
        <v>83</v>
      </c>
    </row>
    <row r="41" spans="1:7">
      <c r="A41" s="15">
        <v>4056</v>
      </c>
      <c r="B41" s="7" t="s">
        <v>20</v>
      </c>
      <c r="C41" s="7" t="s">
        <v>11</v>
      </c>
      <c r="D41" s="7" t="s">
        <v>15</v>
      </c>
      <c r="E41" s="6">
        <v>16</v>
      </c>
      <c r="F41" s="8">
        <v>25</v>
      </c>
      <c r="G41" s="6" t="s">
        <v>97</v>
      </c>
    </row>
    <row r="42" spans="1:7">
      <c r="A42" s="15">
        <v>4006</v>
      </c>
      <c r="B42" s="7" t="s">
        <v>20</v>
      </c>
      <c r="C42" s="7" t="s">
        <v>11</v>
      </c>
      <c r="D42" s="7" t="s">
        <v>9</v>
      </c>
      <c r="E42" s="6">
        <v>12</v>
      </c>
      <c r="F42" s="8">
        <v>50</v>
      </c>
      <c r="G42" s="9">
        <v>45444</v>
      </c>
    </row>
    <row r="43" spans="1:7">
      <c r="A43" s="15">
        <v>4010</v>
      </c>
      <c r="B43" s="7" t="s">
        <v>25</v>
      </c>
      <c r="C43" s="7" t="s">
        <v>11</v>
      </c>
      <c r="D43" s="7" t="s">
        <v>9</v>
      </c>
      <c r="E43" s="6">
        <v>8</v>
      </c>
      <c r="F43" s="8">
        <v>50</v>
      </c>
      <c r="G43" s="9">
        <v>45566</v>
      </c>
    </row>
    <row r="44" spans="1:7">
      <c r="A44" s="15">
        <v>4018</v>
      </c>
      <c r="B44" s="7" t="s">
        <v>38</v>
      </c>
      <c r="C44" s="7" t="s">
        <v>11</v>
      </c>
      <c r="D44" s="7" t="s">
        <v>9</v>
      </c>
      <c r="E44" s="6">
        <v>10</v>
      </c>
      <c r="F44" s="8">
        <v>50</v>
      </c>
      <c r="G44" s="6" t="s">
        <v>39</v>
      </c>
    </row>
    <row r="45" spans="1:7">
      <c r="A45" s="15">
        <v>4034</v>
      </c>
      <c r="B45" s="7" t="s">
        <v>68</v>
      </c>
      <c r="C45" s="7" t="s">
        <v>11</v>
      </c>
      <c r="D45" s="7" t="s">
        <v>9</v>
      </c>
      <c r="E45" s="6">
        <v>17</v>
      </c>
      <c r="F45" s="8">
        <v>50</v>
      </c>
      <c r="G45" s="9">
        <v>45353</v>
      </c>
    </row>
    <row r="46" spans="1:7">
      <c r="A46" s="15">
        <v>4052</v>
      </c>
      <c r="B46" s="7" t="s">
        <v>10</v>
      </c>
      <c r="C46" s="7" t="s">
        <v>11</v>
      </c>
      <c r="D46" s="7" t="s">
        <v>9</v>
      </c>
      <c r="E46" s="6">
        <v>14</v>
      </c>
      <c r="F46" s="8">
        <v>50</v>
      </c>
      <c r="G46" s="6" t="s">
        <v>93</v>
      </c>
    </row>
    <row r="47" spans="1:7">
      <c r="A47" s="15">
        <v>4002</v>
      </c>
      <c r="B47" s="7" t="s">
        <v>10</v>
      </c>
      <c r="C47" s="7" t="s">
        <v>11</v>
      </c>
      <c r="D47" s="7" t="s">
        <v>12</v>
      </c>
      <c r="E47" s="6">
        <v>20</v>
      </c>
      <c r="F47" s="8">
        <v>10</v>
      </c>
      <c r="G47" s="9">
        <v>45323</v>
      </c>
    </row>
    <row r="48" spans="1:7">
      <c r="A48" s="15">
        <v>4014</v>
      </c>
      <c r="B48" s="7" t="s">
        <v>30</v>
      </c>
      <c r="C48" s="7" t="s">
        <v>11</v>
      </c>
      <c r="D48" s="7" t="s">
        <v>12</v>
      </c>
      <c r="E48" s="6">
        <v>28</v>
      </c>
      <c r="F48" s="8">
        <v>10</v>
      </c>
      <c r="G48" s="6" t="s">
        <v>31</v>
      </c>
    </row>
    <row r="49" spans="1:7">
      <c r="A49" s="15">
        <v>4030</v>
      </c>
      <c r="B49" s="7" t="s">
        <v>62</v>
      </c>
      <c r="C49" s="7" t="s">
        <v>11</v>
      </c>
      <c r="D49" s="7" t="s">
        <v>12</v>
      </c>
      <c r="E49" s="6">
        <v>32</v>
      </c>
      <c r="F49" s="8">
        <v>10</v>
      </c>
      <c r="G49" s="6" t="s">
        <v>63</v>
      </c>
    </row>
    <row r="50" spans="1:7">
      <c r="A50" s="15">
        <v>4050</v>
      </c>
      <c r="B50" s="7" t="s">
        <v>90</v>
      </c>
      <c r="C50" s="7" t="s">
        <v>11</v>
      </c>
      <c r="D50" s="7" t="s">
        <v>12</v>
      </c>
      <c r="E50" s="6">
        <v>25</v>
      </c>
      <c r="F50" s="8">
        <v>10</v>
      </c>
      <c r="G50" s="6" t="s">
        <v>91</v>
      </c>
    </row>
    <row r="51" spans="1:7">
      <c r="A51" s="15">
        <v>4068</v>
      </c>
      <c r="B51" s="7" t="s">
        <v>38</v>
      </c>
      <c r="C51" s="7" t="s">
        <v>11</v>
      </c>
      <c r="D51" s="7" t="s">
        <v>12</v>
      </c>
      <c r="E51" s="6">
        <v>28</v>
      </c>
      <c r="F51" s="8">
        <v>10</v>
      </c>
      <c r="G51" s="9">
        <v>45507</v>
      </c>
    </row>
    <row r="52" spans="1:7">
      <c r="A52" s="15">
        <v>4022</v>
      </c>
      <c r="B52" s="7" t="s">
        <v>46</v>
      </c>
      <c r="C52" s="7" t="s">
        <v>11</v>
      </c>
      <c r="D52" s="7" t="s">
        <v>19</v>
      </c>
      <c r="E52" s="6">
        <v>35</v>
      </c>
      <c r="F52" s="8">
        <v>5</v>
      </c>
      <c r="G52" s="6" t="s">
        <v>47</v>
      </c>
    </row>
    <row r="53" spans="1:7">
      <c r="A53" s="15">
        <v>4042</v>
      </c>
      <c r="B53" s="7" t="s">
        <v>76</v>
      </c>
      <c r="C53" s="7" t="s">
        <v>11</v>
      </c>
      <c r="D53" s="7" t="s">
        <v>19</v>
      </c>
      <c r="E53" s="6">
        <v>30</v>
      </c>
      <c r="F53" s="8">
        <v>5</v>
      </c>
      <c r="G53" s="9">
        <v>45598</v>
      </c>
    </row>
    <row r="54" spans="1:7">
      <c r="A54" s="15">
        <v>4064</v>
      </c>
      <c r="B54" s="7" t="s">
        <v>30</v>
      </c>
      <c r="C54" s="7" t="s">
        <v>11</v>
      </c>
      <c r="D54" s="7" t="s">
        <v>19</v>
      </c>
      <c r="E54" s="6">
        <v>22</v>
      </c>
      <c r="F54" s="8">
        <v>5</v>
      </c>
      <c r="G54" s="9">
        <v>45385</v>
      </c>
    </row>
    <row r="55" spans="1:7">
      <c r="A55" s="15">
        <v>4012</v>
      </c>
      <c r="B55" s="7" t="s">
        <v>27</v>
      </c>
      <c r="C55" s="7" t="s">
        <v>17</v>
      </c>
      <c r="D55" s="7" t="s">
        <v>22</v>
      </c>
      <c r="E55" s="6">
        <v>35</v>
      </c>
      <c r="F55" s="8">
        <v>8</v>
      </c>
      <c r="G55" s="9">
        <v>45627</v>
      </c>
    </row>
    <row r="56" spans="1:7">
      <c r="A56" s="15">
        <v>4028</v>
      </c>
      <c r="B56" s="7" t="s">
        <v>58</v>
      </c>
      <c r="C56" s="7" t="s">
        <v>17</v>
      </c>
      <c r="D56" s="7" t="s">
        <v>22</v>
      </c>
      <c r="E56" s="6">
        <v>27</v>
      </c>
      <c r="F56" s="8">
        <v>8</v>
      </c>
      <c r="G56" s="6" t="s">
        <v>59</v>
      </c>
    </row>
    <row r="57" spans="1:7">
      <c r="A57" s="15">
        <v>4048</v>
      </c>
      <c r="B57" s="7" t="s">
        <v>86</v>
      </c>
      <c r="C57" s="7" t="s">
        <v>17</v>
      </c>
      <c r="D57" s="7" t="s">
        <v>22</v>
      </c>
      <c r="E57" s="6">
        <v>32</v>
      </c>
      <c r="F57" s="8">
        <v>8</v>
      </c>
      <c r="G57" s="6" t="s">
        <v>87</v>
      </c>
    </row>
    <row r="58" spans="1:7">
      <c r="A58" s="15">
        <v>4070</v>
      </c>
      <c r="B58" s="7" t="s">
        <v>42</v>
      </c>
      <c r="C58" s="7" t="s">
        <v>17</v>
      </c>
      <c r="D58" s="7" t="s">
        <v>22</v>
      </c>
      <c r="E58" s="6">
        <v>24</v>
      </c>
      <c r="F58" s="8">
        <v>8</v>
      </c>
      <c r="G58" s="9">
        <v>45568</v>
      </c>
    </row>
    <row r="59" spans="1:7">
      <c r="A59" s="15">
        <v>4020</v>
      </c>
      <c r="B59" s="7" t="s">
        <v>42</v>
      </c>
      <c r="C59" s="7" t="s">
        <v>17</v>
      </c>
      <c r="D59" s="7" t="s">
        <v>15</v>
      </c>
      <c r="E59" s="6">
        <v>18</v>
      </c>
      <c r="F59" s="8">
        <v>25</v>
      </c>
      <c r="G59" s="6" t="s">
        <v>43</v>
      </c>
    </row>
    <row r="60" spans="1:7">
      <c r="A60" s="15">
        <v>4036</v>
      </c>
      <c r="B60" s="7" t="s">
        <v>70</v>
      </c>
      <c r="C60" s="7" t="s">
        <v>17</v>
      </c>
      <c r="D60" s="7" t="s">
        <v>15</v>
      </c>
      <c r="E60" s="6">
        <v>15</v>
      </c>
      <c r="F60" s="8">
        <v>25</v>
      </c>
      <c r="G60" s="9">
        <v>45414</v>
      </c>
    </row>
    <row r="61" spans="1:7">
      <c r="A61" s="15">
        <v>4062</v>
      </c>
      <c r="B61" s="7" t="s">
        <v>27</v>
      </c>
      <c r="C61" s="7" t="s">
        <v>17</v>
      </c>
      <c r="D61" s="7" t="s">
        <v>15</v>
      </c>
      <c r="E61" s="6">
        <v>15</v>
      </c>
      <c r="F61" s="8">
        <v>25</v>
      </c>
      <c r="G61" s="9">
        <v>45325</v>
      </c>
    </row>
    <row r="62" spans="1:7">
      <c r="A62" s="15">
        <v>4004</v>
      </c>
      <c r="B62" s="7" t="s">
        <v>16</v>
      </c>
      <c r="C62" s="7" t="s">
        <v>17</v>
      </c>
      <c r="D62" s="7" t="s">
        <v>9</v>
      </c>
      <c r="E62" s="6">
        <v>5</v>
      </c>
      <c r="F62" s="8">
        <v>50</v>
      </c>
      <c r="G62" s="9">
        <v>45383</v>
      </c>
    </row>
    <row r="63" spans="1:7">
      <c r="A63" s="15">
        <v>4024</v>
      </c>
      <c r="B63" s="7" t="s">
        <v>50</v>
      </c>
      <c r="C63" s="7" t="s">
        <v>17</v>
      </c>
      <c r="D63" s="7" t="s">
        <v>9</v>
      </c>
      <c r="E63" s="6">
        <v>11</v>
      </c>
      <c r="F63" s="8">
        <v>50</v>
      </c>
      <c r="G63" s="6" t="s">
        <v>51</v>
      </c>
    </row>
    <row r="64" spans="1:7">
      <c r="A64" s="15">
        <v>4044</v>
      </c>
      <c r="B64" s="7" t="s">
        <v>78</v>
      </c>
      <c r="C64" s="7" t="s">
        <v>17</v>
      </c>
      <c r="D64" s="7" t="s">
        <v>9</v>
      </c>
      <c r="E64" s="6">
        <v>14</v>
      </c>
      <c r="F64" s="8">
        <v>50</v>
      </c>
      <c r="G64" s="6" t="s">
        <v>79</v>
      </c>
    </row>
    <row r="65" spans="1:7">
      <c r="A65" s="15">
        <v>4066</v>
      </c>
      <c r="B65" s="7" t="s">
        <v>34</v>
      </c>
      <c r="C65" s="7" t="s">
        <v>17</v>
      </c>
      <c r="D65" s="7" t="s">
        <v>9</v>
      </c>
      <c r="E65" s="6">
        <v>18</v>
      </c>
      <c r="F65" s="8">
        <v>50</v>
      </c>
      <c r="G65" s="9">
        <v>45446</v>
      </c>
    </row>
    <row r="66" spans="1:7">
      <c r="A66" s="15">
        <v>4008</v>
      </c>
      <c r="B66" s="7" t="s">
        <v>23</v>
      </c>
      <c r="C66" s="7" t="s">
        <v>17</v>
      </c>
      <c r="D66" s="7" t="s">
        <v>12</v>
      </c>
      <c r="E66" s="6">
        <v>18</v>
      </c>
      <c r="F66" s="8">
        <v>10</v>
      </c>
      <c r="G66" s="9">
        <v>45505</v>
      </c>
    </row>
    <row r="67" spans="1:7">
      <c r="A67" s="15">
        <v>4040</v>
      </c>
      <c r="B67" s="7" t="s">
        <v>74</v>
      </c>
      <c r="C67" s="7" t="s">
        <v>17</v>
      </c>
      <c r="D67" s="7" t="s">
        <v>12</v>
      </c>
      <c r="E67" s="6">
        <v>27</v>
      </c>
      <c r="F67" s="8">
        <v>10</v>
      </c>
      <c r="G67" s="9">
        <v>45537</v>
      </c>
    </row>
    <row r="68" spans="1:7">
      <c r="A68" s="15">
        <v>4058</v>
      </c>
      <c r="B68" s="7" t="s">
        <v>23</v>
      </c>
      <c r="C68" s="7" t="s">
        <v>17</v>
      </c>
      <c r="D68" s="7" t="s">
        <v>12</v>
      </c>
      <c r="E68" s="6">
        <v>18</v>
      </c>
      <c r="F68" s="8">
        <v>10</v>
      </c>
      <c r="G68" s="6" t="s">
        <v>99</v>
      </c>
    </row>
    <row r="69" spans="1:7">
      <c r="A69" s="15">
        <v>4016</v>
      </c>
      <c r="B69" s="7" t="s">
        <v>34</v>
      </c>
      <c r="C69" s="7" t="s">
        <v>17</v>
      </c>
      <c r="D69" s="7" t="s">
        <v>19</v>
      </c>
      <c r="E69" s="6">
        <v>25</v>
      </c>
      <c r="F69" s="8">
        <v>5</v>
      </c>
      <c r="G69" s="6" t="s">
        <v>35</v>
      </c>
    </row>
    <row r="70" spans="1:7">
      <c r="A70" s="15">
        <v>4032</v>
      </c>
      <c r="B70" s="7" t="s">
        <v>66</v>
      </c>
      <c r="C70" s="7" t="s">
        <v>17</v>
      </c>
      <c r="D70" s="7" t="s">
        <v>19</v>
      </c>
      <c r="E70" s="6">
        <v>18</v>
      </c>
      <c r="F70" s="8">
        <v>5</v>
      </c>
      <c r="G70" s="9">
        <v>45293</v>
      </c>
    </row>
    <row r="71" spans="1:7">
      <c r="A71" s="15">
        <v>4054</v>
      </c>
      <c r="B71" s="7" t="s">
        <v>16</v>
      </c>
      <c r="C71" s="7" t="s">
        <v>17</v>
      </c>
      <c r="D71" s="7" t="s">
        <v>19</v>
      </c>
      <c r="E71" s="6">
        <v>26</v>
      </c>
      <c r="F71" s="8">
        <v>5</v>
      </c>
      <c r="G71" s="6" t="s">
        <v>95</v>
      </c>
    </row>
  </sheetData>
  <sortState xmlns:xlrd2="http://schemas.microsoft.com/office/spreadsheetml/2017/richdata2" ref="A2:G71">
    <sortCondition ref="C2:C71"/>
    <sortCondition ref="D2:D7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03EF-8638-409A-9EB6-4EECAEB970EA}">
  <dimension ref="B2:C5"/>
  <sheetViews>
    <sheetView workbookViewId="0">
      <selection activeCell="C4" sqref="C4"/>
    </sheetView>
  </sheetViews>
  <sheetFormatPr defaultRowHeight="14.4"/>
  <cols>
    <col min="2" max="2" width="30.77734375" bestFit="1" customWidth="1"/>
    <col min="3" max="3" width="16" customWidth="1"/>
  </cols>
  <sheetData>
    <row r="2" spans="2:3">
      <c r="B2" s="11" t="s">
        <v>108</v>
      </c>
      <c r="C2" s="12"/>
    </row>
    <row r="3" spans="2:3">
      <c r="B3" s="12" t="s">
        <v>109</v>
      </c>
      <c r="C3" s="12">
        <f>COUNT(Dataset!A2:A71)</f>
        <v>70</v>
      </c>
    </row>
    <row r="4" spans="2:3">
      <c r="B4" s="12" t="s">
        <v>110</v>
      </c>
      <c r="C4" s="12">
        <f>COUNTIF(Dataset!C2:C71,"North")</f>
        <v>18</v>
      </c>
    </row>
    <row r="5" spans="2:3">
      <c r="B5" s="12" t="s">
        <v>111</v>
      </c>
      <c r="C5" s="12">
        <f>COUNTIFS(Dataset!C2:C71, "South", Dataset!D2:D71, "Pen")</f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0EEA-A70A-4C08-A506-5A7070DC7B0C}">
  <dimension ref="A1:L71"/>
  <sheetViews>
    <sheetView zoomScaleNormal="100" workbookViewId="0">
      <selection activeCell="G27" sqref="G27"/>
    </sheetView>
  </sheetViews>
  <sheetFormatPr defaultRowHeight="14.4"/>
  <cols>
    <col min="1" max="1" width="8.88671875" bestFit="1" customWidth="1"/>
    <col min="2" max="2" width="16.33203125" bestFit="1" customWidth="1"/>
    <col min="3" max="3" width="8" bestFit="1" customWidth="1"/>
    <col min="4" max="4" width="9.5546875" bestFit="1" customWidth="1"/>
    <col min="5" max="5" width="9.21875" bestFit="1" customWidth="1"/>
    <col min="6" max="6" width="10.109375" bestFit="1" customWidth="1"/>
    <col min="7" max="7" width="12.88671875" customWidth="1"/>
    <col min="8" max="8" width="11.88671875" bestFit="1" customWidth="1"/>
    <col min="11" max="11" width="13.33203125" bestFit="1" customWidth="1"/>
    <col min="12" max="12" width="11.77734375" bestFit="1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7" t="s">
        <v>102</v>
      </c>
    </row>
    <row r="2" spans="1:12">
      <c r="A2" s="15">
        <v>4001</v>
      </c>
      <c r="B2" s="7" t="s">
        <v>7</v>
      </c>
      <c r="C2" s="7" t="s">
        <v>8</v>
      </c>
      <c r="D2" s="7" t="s">
        <v>9</v>
      </c>
      <c r="E2" s="6">
        <v>10</v>
      </c>
      <c r="F2" s="26">
        <v>50</v>
      </c>
      <c r="G2" s="9">
        <v>45292</v>
      </c>
      <c r="H2" s="10">
        <f>E2*F2</f>
        <v>500</v>
      </c>
      <c r="J2" t="s">
        <v>112</v>
      </c>
      <c r="K2" t="s">
        <v>113</v>
      </c>
      <c r="L2" t="s">
        <v>102</v>
      </c>
    </row>
    <row r="3" spans="1:12">
      <c r="A3" s="15">
        <v>4002</v>
      </c>
      <c r="B3" s="7" t="s">
        <v>10</v>
      </c>
      <c r="C3" s="7" t="s">
        <v>11</v>
      </c>
      <c r="D3" s="7" t="s">
        <v>12</v>
      </c>
      <c r="E3" s="6">
        <v>20</v>
      </c>
      <c r="F3" s="26">
        <v>10</v>
      </c>
      <c r="G3" s="9">
        <v>45323</v>
      </c>
      <c r="H3" s="10">
        <f t="shared" ref="H3:H66" si="0">E3*F3</f>
        <v>200</v>
      </c>
      <c r="J3" t="str" cm="1">
        <f t="array" ref="J3:J6">_xlfn.UNIQUE(C2:C71)</f>
        <v>North</v>
      </c>
      <c r="K3">
        <f>SUMIF(C2:C71, "North", (E2:E71))</f>
        <v>339</v>
      </c>
      <c r="L3" s="4">
        <f>SUMIF(C2:C71, "North", H2:H71)</f>
        <v>6285</v>
      </c>
    </row>
    <row r="4" spans="1:12">
      <c r="A4" s="15">
        <v>4003</v>
      </c>
      <c r="B4" s="7" t="s">
        <v>13</v>
      </c>
      <c r="C4" s="7" t="s">
        <v>14</v>
      </c>
      <c r="D4" s="7" t="s">
        <v>15</v>
      </c>
      <c r="E4" s="6">
        <v>15</v>
      </c>
      <c r="F4" s="26">
        <v>25</v>
      </c>
      <c r="G4" s="9">
        <v>45352</v>
      </c>
      <c r="H4" s="10">
        <f t="shared" si="0"/>
        <v>375</v>
      </c>
      <c r="J4" t="str">
        <v>South</v>
      </c>
      <c r="K4">
        <f>SUMIF(C3:C72, "South", (E3:E72))</f>
        <v>384</v>
      </c>
      <c r="L4" s="4">
        <f>SUMIF(C2:C71, "South", H2:H71)</f>
        <v>6472</v>
      </c>
    </row>
    <row r="5" spans="1:12">
      <c r="A5" s="15">
        <v>4004</v>
      </c>
      <c r="B5" s="7" t="s">
        <v>16</v>
      </c>
      <c r="C5" s="7" t="s">
        <v>17</v>
      </c>
      <c r="D5" s="7" t="s">
        <v>9</v>
      </c>
      <c r="E5" s="6">
        <v>5</v>
      </c>
      <c r="F5" s="26">
        <v>50</v>
      </c>
      <c r="G5" s="9">
        <v>45383</v>
      </c>
      <c r="H5" s="10">
        <f t="shared" si="0"/>
        <v>250</v>
      </c>
      <c r="J5" t="str">
        <v>East</v>
      </c>
      <c r="K5">
        <f>SUMIF(C4:C73, "East", (E4:E73))</f>
        <v>361</v>
      </c>
      <c r="L5" s="4">
        <f>SUMIF(C2:C71, "East", H2:H71)</f>
        <v>5306</v>
      </c>
    </row>
    <row r="6" spans="1:12">
      <c r="A6" s="15">
        <v>4005</v>
      </c>
      <c r="B6" s="7" t="s">
        <v>18</v>
      </c>
      <c r="C6" s="7" t="s">
        <v>8</v>
      </c>
      <c r="D6" s="7" t="s">
        <v>19</v>
      </c>
      <c r="E6" s="6">
        <v>30</v>
      </c>
      <c r="F6" s="26">
        <v>5</v>
      </c>
      <c r="G6" s="9">
        <v>45413</v>
      </c>
      <c r="H6" s="10">
        <f t="shared" si="0"/>
        <v>150</v>
      </c>
      <c r="J6" t="str">
        <v>West</v>
      </c>
      <c r="K6">
        <f>SUMIF(C5:C74, "West", (E5:E74))</f>
        <v>346</v>
      </c>
      <c r="L6" s="4">
        <f>SUMIF(C2:C71, "West", H2:H71)</f>
        <v>5519</v>
      </c>
    </row>
    <row r="7" spans="1:12">
      <c r="A7" s="15">
        <v>4006</v>
      </c>
      <c r="B7" s="7" t="s">
        <v>20</v>
      </c>
      <c r="C7" s="7" t="s">
        <v>11</v>
      </c>
      <c r="D7" s="7" t="s">
        <v>9</v>
      </c>
      <c r="E7" s="6">
        <v>12</v>
      </c>
      <c r="F7" s="26">
        <v>50</v>
      </c>
      <c r="G7" s="9">
        <v>45444</v>
      </c>
      <c r="H7" s="10">
        <f t="shared" si="0"/>
        <v>600</v>
      </c>
    </row>
    <row r="8" spans="1:12">
      <c r="A8" s="15">
        <v>4007</v>
      </c>
      <c r="B8" s="7" t="s">
        <v>21</v>
      </c>
      <c r="C8" s="7" t="s">
        <v>14</v>
      </c>
      <c r="D8" s="7" t="s">
        <v>22</v>
      </c>
      <c r="E8" s="6">
        <v>25</v>
      </c>
      <c r="F8" s="26">
        <v>8</v>
      </c>
      <c r="G8" s="9">
        <v>45474</v>
      </c>
      <c r="H8" s="10">
        <f t="shared" si="0"/>
        <v>200</v>
      </c>
    </row>
    <row r="9" spans="1:12">
      <c r="A9" s="15">
        <v>4008</v>
      </c>
      <c r="B9" s="7" t="s">
        <v>23</v>
      </c>
      <c r="C9" s="7" t="s">
        <v>17</v>
      </c>
      <c r="D9" s="7" t="s">
        <v>12</v>
      </c>
      <c r="E9" s="6">
        <v>18</v>
      </c>
      <c r="F9" s="26">
        <v>10</v>
      </c>
      <c r="G9" s="9">
        <v>45505</v>
      </c>
      <c r="H9" s="10">
        <f t="shared" si="0"/>
        <v>180</v>
      </c>
    </row>
    <row r="10" spans="1:12">
      <c r="A10" s="15">
        <v>4009</v>
      </c>
      <c r="B10" s="7" t="s">
        <v>24</v>
      </c>
      <c r="C10" s="7" t="s">
        <v>8</v>
      </c>
      <c r="D10" s="7" t="s">
        <v>15</v>
      </c>
      <c r="E10" s="6">
        <v>22</v>
      </c>
      <c r="F10" s="26">
        <v>25</v>
      </c>
      <c r="G10" s="9">
        <v>45536</v>
      </c>
      <c r="H10" s="10">
        <f t="shared" si="0"/>
        <v>550</v>
      </c>
    </row>
    <row r="11" spans="1:12">
      <c r="A11" s="15">
        <v>4010</v>
      </c>
      <c r="B11" s="7" t="s">
        <v>25</v>
      </c>
      <c r="C11" s="7" t="s">
        <v>11</v>
      </c>
      <c r="D11" s="7" t="s">
        <v>9</v>
      </c>
      <c r="E11" s="6">
        <v>8</v>
      </c>
      <c r="F11" s="26">
        <v>50</v>
      </c>
      <c r="G11" s="9">
        <v>45566</v>
      </c>
      <c r="H11" s="10">
        <f t="shared" si="0"/>
        <v>400</v>
      </c>
    </row>
    <row r="12" spans="1:12">
      <c r="A12" s="15">
        <v>4011</v>
      </c>
      <c r="B12" s="7" t="s">
        <v>26</v>
      </c>
      <c r="C12" s="7" t="s">
        <v>14</v>
      </c>
      <c r="D12" s="7" t="s">
        <v>19</v>
      </c>
      <c r="E12" s="6">
        <v>40</v>
      </c>
      <c r="F12" s="26">
        <v>5</v>
      </c>
      <c r="G12" s="9">
        <v>45597</v>
      </c>
      <c r="H12" s="10">
        <f t="shared" si="0"/>
        <v>200</v>
      </c>
    </row>
    <row r="13" spans="1:12">
      <c r="A13" s="15">
        <v>4012</v>
      </c>
      <c r="B13" s="7" t="s">
        <v>27</v>
      </c>
      <c r="C13" s="7" t="s">
        <v>17</v>
      </c>
      <c r="D13" s="7" t="s">
        <v>22</v>
      </c>
      <c r="E13" s="6">
        <v>35</v>
      </c>
      <c r="F13" s="26">
        <v>8</v>
      </c>
      <c r="G13" s="9">
        <v>45627</v>
      </c>
      <c r="H13" s="10">
        <f t="shared" si="0"/>
        <v>280</v>
      </c>
    </row>
    <row r="14" spans="1:12">
      <c r="A14" s="15">
        <v>4013</v>
      </c>
      <c r="B14" s="7" t="s">
        <v>28</v>
      </c>
      <c r="C14" s="7" t="s">
        <v>8</v>
      </c>
      <c r="D14" s="7" t="s">
        <v>9</v>
      </c>
      <c r="E14" s="6">
        <v>14</v>
      </c>
      <c r="F14" s="26">
        <v>50</v>
      </c>
      <c r="G14" s="6" t="s">
        <v>29</v>
      </c>
      <c r="H14" s="10">
        <f t="shared" si="0"/>
        <v>700</v>
      </c>
    </row>
    <row r="15" spans="1:12">
      <c r="A15" s="15">
        <v>4014</v>
      </c>
      <c r="B15" s="7" t="s">
        <v>30</v>
      </c>
      <c r="C15" s="7" t="s">
        <v>11</v>
      </c>
      <c r="D15" s="7" t="s">
        <v>12</v>
      </c>
      <c r="E15" s="6">
        <v>28</v>
      </c>
      <c r="F15" s="26">
        <v>10</v>
      </c>
      <c r="G15" s="6" t="s">
        <v>31</v>
      </c>
      <c r="H15" s="10">
        <f t="shared" si="0"/>
        <v>280</v>
      </c>
    </row>
    <row r="16" spans="1:12">
      <c r="A16" s="15">
        <v>4015</v>
      </c>
      <c r="B16" s="7" t="s">
        <v>32</v>
      </c>
      <c r="C16" s="7" t="s">
        <v>14</v>
      </c>
      <c r="D16" s="7" t="s">
        <v>15</v>
      </c>
      <c r="E16" s="6">
        <v>12</v>
      </c>
      <c r="F16" s="26">
        <v>25</v>
      </c>
      <c r="G16" s="6" t="s">
        <v>33</v>
      </c>
      <c r="H16" s="10">
        <f t="shared" si="0"/>
        <v>300</v>
      </c>
    </row>
    <row r="17" spans="1:8">
      <c r="A17" s="15">
        <v>4016</v>
      </c>
      <c r="B17" s="7" t="s">
        <v>34</v>
      </c>
      <c r="C17" s="7" t="s">
        <v>17</v>
      </c>
      <c r="D17" s="7" t="s">
        <v>19</v>
      </c>
      <c r="E17" s="6">
        <v>25</v>
      </c>
      <c r="F17" s="26">
        <v>5</v>
      </c>
      <c r="G17" s="6" t="s">
        <v>35</v>
      </c>
      <c r="H17" s="10">
        <f t="shared" si="0"/>
        <v>125</v>
      </c>
    </row>
    <row r="18" spans="1:8">
      <c r="A18" s="15">
        <v>4017</v>
      </c>
      <c r="B18" s="7" t="s">
        <v>36</v>
      </c>
      <c r="C18" s="7" t="s">
        <v>8</v>
      </c>
      <c r="D18" s="7" t="s">
        <v>22</v>
      </c>
      <c r="E18" s="6">
        <v>20</v>
      </c>
      <c r="F18" s="26">
        <v>8</v>
      </c>
      <c r="G18" s="6" t="s">
        <v>37</v>
      </c>
      <c r="H18" s="10">
        <f t="shared" si="0"/>
        <v>160</v>
      </c>
    </row>
    <row r="19" spans="1:8">
      <c r="A19" s="15">
        <v>4018</v>
      </c>
      <c r="B19" s="7" t="s">
        <v>38</v>
      </c>
      <c r="C19" s="7" t="s">
        <v>11</v>
      </c>
      <c r="D19" s="7" t="s">
        <v>9</v>
      </c>
      <c r="E19" s="6">
        <v>10</v>
      </c>
      <c r="F19" s="26">
        <v>50</v>
      </c>
      <c r="G19" s="6" t="s">
        <v>39</v>
      </c>
      <c r="H19" s="10">
        <f t="shared" si="0"/>
        <v>500</v>
      </c>
    </row>
    <row r="20" spans="1:8">
      <c r="A20" s="15">
        <v>4019</v>
      </c>
      <c r="B20" s="7" t="s">
        <v>40</v>
      </c>
      <c r="C20" s="7" t="s">
        <v>14</v>
      </c>
      <c r="D20" s="7" t="s">
        <v>12</v>
      </c>
      <c r="E20" s="6">
        <v>15</v>
      </c>
      <c r="F20" s="26">
        <v>10</v>
      </c>
      <c r="G20" s="6" t="s">
        <v>41</v>
      </c>
      <c r="H20" s="10">
        <f t="shared" si="0"/>
        <v>150</v>
      </c>
    </row>
    <row r="21" spans="1:8">
      <c r="A21" s="15">
        <v>4020</v>
      </c>
      <c r="B21" s="7" t="s">
        <v>42</v>
      </c>
      <c r="C21" s="7" t="s">
        <v>17</v>
      </c>
      <c r="D21" s="7" t="s">
        <v>15</v>
      </c>
      <c r="E21" s="6">
        <v>18</v>
      </c>
      <c r="F21" s="26">
        <v>25</v>
      </c>
      <c r="G21" s="6" t="s">
        <v>43</v>
      </c>
      <c r="H21" s="10">
        <f t="shared" si="0"/>
        <v>450</v>
      </c>
    </row>
    <row r="22" spans="1:8">
      <c r="A22" s="15">
        <v>4021</v>
      </c>
      <c r="B22" s="7" t="s">
        <v>44</v>
      </c>
      <c r="C22" s="7" t="s">
        <v>8</v>
      </c>
      <c r="D22" s="7" t="s">
        <v>9</v>
      </c>
      <c r="E22" s="6">
        <v>9</v>
      </c>
      <c r="F22" s="26">
        <v>50</v>
      </c>
      <c r="G22" s="6" t="s">
        <v>45</v>
      </c>
      <c r="H22" s="10">
        <f t="shared" si="0"/>
        <v>450</v>
      </c>
    </row>
    <row r="23" spans="1:8">
      <c r="A23" s="15">
        <v>4022</v>
      </c>
      <c r="B23" s="7" t="s">
        <v>46</v>
      </c>
      <c r="C23" s="7" t="s">
        <v>11</v>
      </c>
      <c r="D23" s="7" t="s">
        <v>19</v>
      </c>
      <c r="E23" s="6">
        <v>35</v>
      </c>
      <c r="F23" s="26">
        <v>5</v>
      </c>
      <c r="G23" s="6" t="s">
        <v>47</v>
      </c>
      <c r="H23" s="10">
        <f t="shared" si="0"/>
        <v>175</v>
      </c>
    </row>
    <row r="24" spans="1:8">
      <c r="A24" s="15">
        <v>4023</v>
      </c>
      <c r="B24" s="7" t="s">
        <v>48</v>
      </c>
      <c r="C24" s="7" t="s">
        <v>14</v>
      </c>
      <c r="D24" s="7" t="s">
        <v>22</v>
      </c>
      <c r="E24" s="6">
        <v>30</v>
      </c>
      <c r="F24" s="26">
        <v>8</v>
      </c>
      <c r="G24" s="6" t="s">
        <v>49</v>
      </c>
      <c r="H24" s="10">
        <f t="shared" si="0"/>
        <v>240</v>
      </c>
    </row>
    <row r="25" spans="1:8">
      <c r="A25" s="15">
        <v>4024</v>
      </c>
      <c r="B25" s="7" t="s">
        <v>50</v>
      </c>
      <c r="C25" s="7" t="s">
        <v>17</v>
      </c>
      <c r="D25" s="7" t="s">
        <v>9</v>
      </c>
      <c r="E25" s="6">
        <v>11</v>
      </c>
      <c r="F25" s="26">
        <v>50</v>
      </c>
      <c r="G25" s="6" t="s">
        <v>51</v>
      </c>
      <c r="H25" s="10">
        <f t="shared" si="0"/>
        <v>550</v>
      </c>
    </row>
    <row r="26" spans="1:8">
      <c r="A26" s="15">
        <v>4025</v>
      </c>
      <c r="B26" s="7" t="s">
        <v>52</v>
      </c>
      <c r="C26" s="7" t="s">
        <v>8</v>
      </c>
      <c r="D26" s="7" t="s">
        <v>12</v>
      </c>
      <c r="E26" s="6">
        <v>14</v>
      </c>
      <c r="F26" s="26">
        <v>10</v>
      </c>
      <c r="G26" s="6" t="s">
        <v>53</v>
      </c>
      <c r="H26" s="10">
        <f t="shared" si="0"/>
        <v>140</v>
      </c>
    </row>
    <row r="27" spans="1:8">
      <c r="A27" s="15">
        <v>4026</v>
      </c>
      <c r="B27" s="7" t="s">
        <v>54</v>
      </c>
      <c r="C27" s="7" t="s">
        <v>11</v>
      </c>
      <c r="D27" s="7" t="s">
        <v>15</v>
      </c>
      <c r="E27" s="6">
        <v>16</v>
      </c>
      <c r="F27" s="26">
        <v>25</v>
      </c>
      <c r="G27" s="6" t="s">
        <v>55</v>
      </c>
      <c r="H27" s="10">
        <f t="shared" si="0"/>
        <v>400</v>
      </c>
    </row>
    <row r="28" spans="1:8">
      <c r="A28" s="15">
        <v>4027</v>
      </c>
      <c r="B28" s="7" t="s">
        <v>56</v>
      </c>
      <c r="C28" s="7" t="s">
        <v>14</v>
      </c>
      <c r="D28" s="7" t="s">
        <v>19</v>
      </c>
      <c r="E28" s="6">
        <v>22</v>
      </c>
      <c r="F28" s="26">
        <v>5</v>
      </c>
      <c r="G28" s="6" t="s">
        <v>57</v>
      </c>
      <c r="H28" s="10">
        <f t="shared" si="0"/>
        <v>110</v>
      </c>
    </row>
    <row r="29" spans="1:8">
      <c r="A29" s="15">
        <v>4028</v>
      </c>
      <c r="B29" s="7" t="s">
        <v>58</v>
      </c>
      <c r="C29" s="7" t="s">
        <v>17</v>
      </c>
      <c r="D29" s="7" t="s">
        <v>22</v>
      </c>
      <c r="E29" s="6">
        <v>27</v>
      </c>
      <c r="F29" s="26">
        <v>8</v>
      </c>
      <c r="G29" s="6" t="s">
        <v>59</v>
      </c>
      <c r="H29" s="10">
        <f t="shared" si="0"/>
        <v>216</v>
      </c>
    </row>
    <row r="30" spans="1:8">
      <c r="A30" s="15">
        <v>4029</v>
      </c>
      <c r="B30" s="7" t="s">
        <v>60</v>
      </c>
      <c r="C30" s="7" t="s">
        <v>8</v>
      </c>
      <c r="D30" s="7" t="s">
        <v>9</v>
      </c>
      <c r="E30" s="6">
        <v>13</v>
      </c>
      <c r="F30" s="26">
        <v>50</v>
      </c>
      <c r="G30" s="6" t="s">
        <v>61</v>
      </c>
      <c r="H30" s="10">
        <f t="shared" si="0"/>
        <v>650</v>
      </c>
    </row>
    <row r="31" spans="1:8">
      <c r="A31" s="15">
        <v>4030</v>
      </c>
      <c r="B31" s="7" t="s">
        <v>62</v>
      </c>
      <c r="C31" s="7" t="s">
        <v>11</v>
      </c>
      <c r="D31" s="7" t="s">
        <v>12</v>
      </c>
      <c r="E31" s="6">
        <v>32</v>
      </c>
      <c r="F31" s="26">
        <v>10</v>
      </c>
      <c r="G31" s="6" t="s">
        <v>63</v>
      </c>
      <c r="H31" s="10">
        <f t="shared" si="0"/>
        <v>320</v>
      </c>
    </row>
    <row r="32" spans="1:8">
      <c r="A32" s="15">
        <v>4031</v>
      </c>
      <c r="B32" s="7" t="s">
        <v>64</v>
      </c>
      <c r="C32" s="7" t="s">
        <v>14</v>
      </c>
      <c r="D32" s="7" t="s">
        <v>15</v>
      </c>
      <c r="E32" s="6">
        <v>10</v>
      </c>
      <c r="F32" s="26">
        <v>25</v>
      </c>
      <c r="G32" s="6" t="s">
        <v>65</v>
      </c>
      <c r="H32" s="10">
        <f t="shared" si="0"/>
        <v>250</v>
      </c>
    </row>
    <row r="33" spans="1:8">
      <c r="A33" s="15">
        <v>4032</v>
      </c>
      <c r="B33" s="7" t="s">
        <v>66</v>
      </c>
      <c r="C33" s="7" t="s">
        <v>17</v>
      </c>
      <c r="D33" s="7" t="s">
        <v>19</v>
      </c>
      <c r="E33" s="6">
        <v>18</v>
      </c>
      <c r="F33" s="26">
        <v>5</v>
      </c>
      <c r="G33" s="9">
        <v>45293</v>
      </c>
      <c r="H33" s="10">
        <f t="shared" si="0"/>
        <v>90</v>
      </c>
    </row>
    <row r="34" spans="1:8">
      <c r="A34" s="15">
        <v>4033</v>
      </c>
      <c r="B34" s="7" t="s">
        <v>67</v>
      </c>
      <c r="C34" s="7" t="s">
        <v>8</v>
      </c>
      <c r="D34" s="7" t="s">
        <v>22</v>
      </c>
      <c r="E34" s="6">
        <v>22</v>
      </c>
      <c r="F34" s="26">
        <v>8</v>
      </c>
      <c r="G34" s="9">
        <v>45324</v>
      </c>
      <c r="H34" s="10">
        <f t="shared" si="0"/>
        <v>176</v>
      </c>
    </row>
    <row r="35" spans="1:8">
      <c r="A35" s="15">
        <v>4034</v>
      </c>
      <c r="B35" s="7" t="s">
        <v>68</v>
      </c>
      <c r="C35" s="7" t="s">
        <v>11</v>
      </c>
      <c r="D35" s="7" t="s">
        <v>9</v>
      </c>
      <c r="E35" s="6">
        <v>17</v>
      </c>
      <c r="F35" s="26">
        <v>50</v>
      </c>
      <c r="G35" s="9">
        <v>45353</v>
      </c>
      <c r="H35" s="10">
        <f t="shared" si="0"/>
        <v>850</v>
      </c>
    </row>
    <row r="36" spans="1:8">
      <c r="A36" s="15">
        <v>4035</v>
      </c>
      <c r="B36" s="7" t="s">
        <v>69</v>
      </c>
      <c r="C36" s="7" t="s">
        <v>14</v>
      </c>
      <c r="D36" s="7" t="s">
        <v>12</v>
      </c>
      <c r="E36" s="6">
        <v>19</v>
      </c>
      <c r="F36" s="26">
        <v>10</v>
      </c>
      <c r="G36" s="9">
        <v>45384</v>
      </c>
      <c r="H36" s="10">
        <f t="shared" si="0"/>
        <v>190</v>
      </c>
    </row>
    <row r="37" spans="1:8">
      <c r="A37" s="15">
        <v>4036</v>
      </c>
      <c r="B37" s="7" t="s">
        <v>70</v>
      </c>
      <c r="C37" s="7" t="s">
        <v>17</v>
      </c>
      <c r="D37" s="7" t="s">
        <v>15</v>
      </c>
      <c r="E37" s="6">
        <v>15</v>
      </c>
      <c r="F37" s="26">
        <v>25</v>
      </c>
      <c r="G37" s="9">
        <v>45414</v>
      </c>
      <c r="H37" s="10">
        <f t="shared" si="0"/>
        <v>375</v>
      </c>
    </row>
    <row r="38" spans="1:8">
      <c r="A38" s="15">
        <v>4037</v>
      </c>
      <c r="B38" s="7" t="s">
        <v>71</v>
      </c>
      <c r="C38" s="7" t="s">
        <v>8</v>
      </c>
      <c r="D38" s="7" t="s">
        <v>19</v>
      </c>
      <c r="E38" s="6">
        <v>28</v>
      </c>
      <c r="F38" s="26">
        <v>5</v>
      </c>
      <c r="G38" s="9">
        <v>45445</v>
      </c>
      <c r="H38" s="10">
        <f t="shared" si="0"/>
        <v>140</v>
      </c>
    </row>
    <row r="39" spans="1:8">
      <c r="A39" s="15">
        <v>4038</v>
      </c>
      <c r="B39" s="7" t="s">
        <v>72</v>
      </c>
      <c r="C39" s="7" t="s">
        <v>11</v>
      </c>
      <c r="D39" s="7" t="s">
        <v>22</v>
      </c>
      <c r="E39" s="6">
        <v>24</v>
      </c>
      <c r="F39" s="26">
        <v>8</v>
      </c>
      <c r="G39" s="9">
        <v>45475</v>
      </c>
      <c r="H39" s="10">
        <f t="shared" si="0"/>
        <v>192</v>
      </c>
    </row>
    <row r="40" spans="1:8">
      <c r="A40" s="15">
        <v>4039</v>
      </c>
      <c r="B40" s="7" t="s">
        <v>73</v>
      </c>
      <c r="C40" s="7" t="s">
        <v>14</v>
      </c>
      <c r="D40" s="7" t="s">
        <v>9</v>
      </c>
      <c r="E40" s="6">
        <v>16</v>
      </c>
      <c r="F40" s="26">
        <v>50</v>
      </c>
      <c r="G40" s="9">
        <v>45506</v>
      </c>
      <c r="H40" s="10">
        <f t="shared" si="0"/>
        <v>800</v>
      </c>
    </row>
    <row r="41" spans="1:8">
      <c r="A41" s="15">
        <v>4040</v>
      </c>
      <c r="B41" s="7" t="s">
        <v>74</v>
      </c>
      <c r="C41" s="7" t="s">
        <v>17</v>
      </c>
      <c r="D41" s="7" t="s">
        <v>12</v>
      </c>
      <c r="E41" s="6">
        <v>27</v>
      </c>
      <c r="F41" s="26">
        <v>10</v>
      </c>
      <c r="G41" s="9">
        <v>45537</v>
      </c>
      <c r="H41" s="10">
        <f t="shared" si="0"/>
        <v>270</v>
      </c>
    </row>
    <row r="42" spans="1:8">
      <c r="A42" s="15">
        <v>4041</v>
      </c>
      <c r="B42" s="7" t="s">
        <v>75</v>
      </c>
      <c r="C42" s="7" t="s">
        <v>8</v>
      </c>
      <c r="D42" s="7" t="s">
        <v>15</v>
      </c>
      <c r="E42" s="6">
        <v>21</v>
      </c>
      <c r="F42" s="26">
        <v>25</v>
      </c>
      <c r="G42" s="9">
        <v>45567</v>
      </c>
      <c r="H42" s="10">
        <f t="shared" si="0"/>
        <v>525</v>
      </c>
    </row>
    <row r="43" spans="1:8">
      <c r="A43" s="15">
        <v>4042</v>
      </c>
      <c r="B43" s="7" t="s">
        <v>76</v>
      </c>
      <c r="C43" s="7" t="s">
        <v>11</v>
      </c>
      <c r="D43" s="7" t="s">
        <v>19</v>
      </c>
      <c r="E43" s="6">
        <v>30</v>
      </c>
      <c r="F43" s="26">
        <v>5</v>
      </c>
      <c r="G43" s="9">
        <v>45598</v>
      </c>
      <c r="H43" s="10">
        <f t="shared" si="0"/>
        <v>150</v>
      </c>
    </row>
    <row r="44" spans="1:8">
      <c r="A44" s="15">
        <v>4043</v>
      </c>
      <c r="B44" s="7" t="s">
        <v>77</v>
      </c>
      <c r="C44" s="7" t="s">
        <v>14</v>
      </c>
      <c r="D44" s="7" t="s">
        <v>22</v>
      </c>
      <c r="E44" s="6">
        <v>26</v>
      </c>
      <c r="F44" s="26">
        <v>8</v>
      </c>
      <c r="G44" s="9">
        <v>45628</v>
      </c>
      <c r="H44" s="10">
        <f t="shared" si="0"/>
        <v>208</v>
      </c>
    </row>
    <row r="45" spans="1:8">
      <c r="A45" s="15">
        <v>4044</v>
      </c>
      <c r="B45" s="7" t="s">
        <v>78</v>
      </c>
      <c r="C45" s="7" t="s">
        <v>17</v>
      </c>
      <c r="D45" s="7" t="s">
        <v>9</v>
      </c>
      <c r="E45" s="6">
        <v>14</v>
      </c>
      <c r="F45" s="26">
        <v>50</v>
      </c>
      <c r="G45" s="6" t="s">
        <v>79</v>
      </c>
      <c r="H45" s="10">
        <f t="shared" si="0"/>
        <v>700</v>
      </c>
    </row>
    <row r="46" spans="1:8">
      <c r="A46" s="15">
        <v>4045</v>
      </c>
      <c r="B46" s="7" t="s">
        <v>80</v>
      </c>
      <c r="C46" s="7" t="s">
        <v>8</v>
      </c>
      <c r="D46" s="7" t="s">
        <v>12</v>
      </c>
      <c r="E46" s="6">
        <v>20</v>
      </c>
      <c r="F46" s="26">
        <v>10</v>
      </c>
      <c r="G46" s="6" t="s">
        <v>81</v>
      </c>
      <c r="H46" s="10">
        <f t="shared" si="0"/>
        <v>200</v>
      </c>
    </row>
    <row r="47" spans="1:8">
      <c r="A47" s="15">
        <v>4046</v>
      </c>
      <c r="B47" s="7" t="s">
        <v>82</v>
      </c>
      <c r="C47" s="7" t="s">
        <v>11</v>
      </c>
      <c r="D47" s="7" t="s">
        <v>15</v>
      </c>
      <c r="E47" s="6">
        <v>17</v>
      </c>
      <c r="F47" s="26">
        <v>25</v>
      </c>
      <c r="G47" s="6" t="s">
        <v>83</v>
      </c>
      <c r="H47" s="10">
        <f t="shared" si="0"/>
        <v>425</v>
      </c>
    </row>
    <row r="48" spans="1:8">
      <c r="A48" s="15">
        <v>4047</v>
      </c>
      <c r="B48" s="7" t="s">
        <v>84</v>
      </c>
      <c r="C48" s="7" t="s">
        <v>14</v>
      </c>
      <c r="D48" s="7" t="s">
        <v>19</v>
      </c>
      <c r="E48" s="6">
        <v>19</v>
      </c>
      <c r="F48" s="26">
        <v>5</v>
      </c>
      <c r="G48" s="6" t="s">
        <v>85</v>
      </c>
      <c r="H48" s="10">
        <f t="shared" si="0"/>
        <v>95</v>
      </c>
    </row>
    <row r="49" spans="1:8">
      <c r="A49" s="15">
        <v>4048</v>
      </c>
      <c r="B49" s="7" t="s">
        <v>86</v>
      </c>
      <c r="C49" s="7" t="s">
        <v>17</v>
      </c>
      <c r="D49" s="7" t="s">
        <v>22</v>
      </c>
      <c r="E49" s="6">
        <v>32</v>
      </c>
      <c r="F49" s="26">
        <v>8</v>
      </c>
      <c r="G49" s="6" t="s">
        <v>87</v>
      </c>
      <c r="H49" s="10">
        <f t="shared" si="0"/>
        <v>256</v>
      </c>
    </row>
    <row r="50" spans="1:8">
      <c r="A50" s="15">
        <v>4049</v>
      </c>
      <c r="B50" s="7" t="s">
        <v>88</v>
      </c>
      <c r="C50" s="7" t="s">
        <v>8</v>
      </c>
      <c r="D50" s="7" t="s">
        <v>9</v>
      </c>
      <c r="E50" s="6">
        <v>12</v>
      </c>
      <c r="F50" s="26">
        <v>50</v>
      </c>
      <c r="G50" s="6" t="s">
        <v>89</v>
      </c>
      <c r="H50" s="10">
        <f t="shared" si="0"/>
        <v>600</v>
      </c>
    </row>
    <row r="51" spans="1:8">
      <c r="A51" s="15">
        <v>4050</v>
      </c>
      <c r="B51" s="7" t="s">
        <v>90</v>
      </c>
      <c r="C51" s="7" t="s">
        <v>11</v>
      </c>
      <c r="D51" s="7" t="s">
        <v>12</v>
      </c>
      <c r="E51" s="6">
        <v>25</v>
      </c>
      <c r="F51" s="26">
        <v>10</v>
      </c>
      <c r="G51" s="6" t="s">
        <v>91</v>
      </c>
      <c r="H51" s="10">
        <f t="shared" si="0"/>
        <v>250</v>
      </c>
    </row>
    <row r="52" spans="1:8">
      <c r="A52" s="15">
        <v>4051</v>
      </c>
      <c r="B52" s="7" t="s">
        <v>7</v>
      </c>
      <c r="C52" s="7" t="s">
        <v>8</v>
      </c>
      <c r="D52" s="7" t="s">
        <v>15</v>
      </c>
      <c r="E52" s="6">
        <v>18</v>
      </c>
      <c r="F52" s="26">
        <v>25</v>
      </c>
      <c r="G52" s="6" t="s">
        <v>92</v>
      </c>
      <c r="H52" s="10">
        <f t="shared" si="0"/>
        <v>450</v>
      </c>
    </row>
    <row r="53" spans="1:8">
      <c r="A53" s="15">
        <v>4052</v>
      </c>
      <c r="B53" s="7" t="s">
        <v>10</v>
      </c>
      <c r="C53" s="7" t="s">
        <v>11</v>
      </c>
      <c r="D53" s="7" t="s">
        <v>9</v>
      </c>
      <c r="E53" s="6">
        <v>14</v>
      </c>
      <c r="F53" s="26">
        <v>50</v>
      </c>
      <c r="G53" s="6" t="s">
        <v>93</v>
      </c>
      <c r="H53" s="10">
        <f t="shared" si="0"/>
        <v>700</v>
      </c>
    </row>
    <row r="54" spans="1:8">
      <c r="A54" s="15">
        <v>4053</v>
      </c>
      <c r="B54" s="7" t="s">
        <v>13</v>
      </c>
      <c r="C54" s="7" t="s">
        <v>14</v>
      </c>
      <c r="D54" s="7" t="s">
        <v>12</v>
      </c>
      <c r="E54" s="6">
        <v>22</v>
      </c>
      <c r="F54" s="26">
        <v>10</v>
      </c>
      <c r="G54" s="6" t="s">
        <v>94</v>
      </c>
      <c r="H54" s="10">
        <f t="shared" si="0"/>
        <v>220</v>
      </c>
    </row>
    <row r="55" spans="1:8">
      <c r="A55" s="15">
        <v>4054</v>
      </c>
      <c r="B55" s="7" t="s">
        <v>16</v>
      </c>
      <c r="C55" s="7" t="s">
        <v>17</v>
      </c>
      <c r="D55" s="7" t="s">
        <v>19</v>
      </c>
      <c r="E55" s="6">
        <v>26</v>
      </c>
      <c r="F55" s="26">
        <v>5</v>
      </c>
      <c r="G55" s="6" t="s">
        <v>95</v>
      </c>
      <c r="H55" s="10">
        <f t="shared" si="0"/>
        <v>130</v>
      </c>
    </row>
    <row r="56" spans="1:8">
      <c r="A56" s="15">
        <v>4055</v>
      </c>
      <c r="B56" s="7" t="s">
        <v>18</v>
      </c>
      <c r="C56" s="7" t="s">
        <v>8</v>
      </c>
      <c r="D56" s="7" t="s">
        <v>22</v>
      </c>
      <c r="E56" s="6">
        <v>28</v>
      </c>
      <c r="F56" s="26">
        <v>8</v>
      </c>
      <c r="G56" s="6" t="s">
        <v>96</v>
      </c>
      <c r="H56" s="10">
        <f t="shared" si="0"/>
        <v>224</v>
      </c>
    </row>
    <row r="57" spans="1:8">
      <c r="A57" s="15">
        <v>4056</v>
      </c>
      <c r="B57" s="7" t="s">
        <v>20</v>
      </c>
      <c r="C57" s="7" t="s">
        <v>11</v>
      </c>
      <c r="D57" s="7" t="s">
        <v>15</v>
      </c>
      <c r="E57" s="6">
        <v>16</v>
      </c>
      <c r="F57" s="26">
        <v>25</v>
      </c>
      <c r="G57" s="6" t="s">
        <v>97</v>
      </c>
      <c r="H57" s="10">
        <f t="shared" si="0"/>
        <v>400</v>
      </c>
    </row>
    <row r="58" spans="1:8">
      <c r="A58" s="15">
        <v>4057</v>
      </c>
      <c r="B58" s="7" t="s">
        <v>21</v>
      </c>
      <c r="C58" s="7" t="s">
        <v>14</v>
      </c>
      <c r="D58" s="7" t="s">
        <v>9</v>
      </c>
      <c r="E58" s="6">
        <v>20</v>
      </c>
      <c r="F58" s="26">
        <v>50</v>
      </c>
      <c r="G58" s="6" t="s">
        <v>98</v>
      </c>
      <c r="H58" s="10">
        <f t="shared" si="0"/>
        <v>1000</v>
      </c>
    </row>
    <row r="59" spans="1:8">
      <c r="A59" s="15">
        <v>4058</v>
      </c>
      <c r="B59" s="7" t="s">
        <v>23</v>
      </c>
      <c r="C59" s="7" t="s">
        <v>17</v>
      </c>
      <c r="D59" s="7" t="s">
        <v>12</v>
      </c>
      <c r="E59" s="6">
        <v>18</v>
      </c>
      <c r="F59" s="26">
        <v>10</v>
      </c>
      <c r="G59" s="6" t="s">
        <v>99</v>
      </c>
      <c r="H59" s="10">
        <f t="shared" si="0"/>
        <v>180</v>
      </c>
    </row>
    <row r="60" spans="1:8">
      <c r="A60" s="15">
        <v>4059</v>
      </c>
      <c r="B60" s="7" t="s">
        <v>24</v>
      </c>
      <c r="C60" s="7" t="s">
        <v>8</v>
      </c>
      <c r="D60" s="7" t="s">
        <v>19</v>
      </c>
      <c r="E60" s="6">
        <v>24</v>
      </c>
      <c r="F60" s="26">
        <v>5</v>
      </c>
      <c r="G60" s="6" t="s">
        <v>100</v>
      </c>
      <c r="H60" s="10">
        <f t="shared" si="0"/>
        <v>120</v>
      </c>
    </row>
    <row r="61" spans="1:8">
      <c r="A61" s="15">
        <v>4060</v>
      </c>
      <c r="B61" s="7" t="s">
        <v>25</v>
      </c>
      <c r="C61" s="7" t="s">
        <v>11</v>
      </c>
      <c r="D61" s="7" t="s">
        <v>22</v>
      </c>
      <c r="E61" s="6">
        <v>30</v>
      </c>
      <c r="F61" s="26">
        <v>8</v>
      </c>
      <c r="G61" s="6" t="s">
        <v>101</v>
      </c>
      <c r="H61" s="10">
        <f t="shared" si="0"/>
        <v>240</v>
      </c>
    </row>
    <row r="62" spans="1:8">
      <c r="A62" s="15">
        <v>4061</v>
      </c>
      <c r="B62" s="7" t="s">
        <v>26</v>
      </c>
      <c r="C62" s="7" t="s">
        <v>14</v>
      </c>
      <c r="D62" s="7" t="s">
        <v>9</v>
      </c>
      <c r="E62" s="6">
        <v>12</v>
      </c>
      <c r="F62" s="26">
        <v>50</v>
      </c>
      <c r="G62" s="9">
        <v>45294</v>
      </c>
      <c r="H62" s="10">
        <f t="shared" si="0"/>
        <v>600</v>
      </c>
    </row>
    <row r="63" spans="1:8">
      <c r="A63" s="15">
        <v>4062</v>
      </c>
      <c r="B63" s="7" t="s">
        <v>27</v>
      </c>
      <c r="C63" s="7" t="s">
        <v>17</v>
      </c>
      <c r="D63" s="7" t="s">
        <v>15</v>
      </c>
      <c r="E63" s="6">
        <v>15</v>
      </c>
      <c r="F63" s="26">
        <v>25</v>
      </c>
      <c r="G63" s="9">
        <v>45325</v>
      </c>
      <c r="H63" s="10">
        <f t="shared" si="0"/>
        <v>375</v>
      </c>
    </row>
    <row r="64" spans="1:8">
      <c r="A64" s="15">
        <v>4063</v>
      </c>
      <c r="B64" s="7" t="s">
        <v>28</v>
      </c>
      <c r="C64" s="7" t="s">
        <v>8</v>
      </c>
      <c r="D64" s="7" t="s">
        <v>12</v>
      </c>
      <c r="E64" s="6">
        <v>20</v>
      </c>
      <c r="F64" s="26">
        <v>10</v>
      </c>
      <c r="G64" s="9">
        <v>45354</v>
      </c>
      <c r="H64" s="10">
        <f t="shared" si="0"/>
        <v>200</v>
      </c>
    </row>
    <row r="65" spans="1:8">
      <c r="A65" s="15">
        <v>4064</v>
      </c>
      <c r="B65" s="7" t="s">
        <v>30</v>
      </c>
      <c r="C65" s="7" t="s">
        <v>11</v>
      </c>
      <c r="D65" s="7" t="s">
        <v>19</v>
      </c>
      <c r="E65" s="6">
        <v>22</v>
      </c>
      <c r="F65" s="26">
        <v>5</v>
      </c>
      <c r="G65" s="9">
        <v>45385</v>
      </c>
      <c r="H65" s="10">
        <f t="shared" si="0"/>
        <v>110</v>
      </c>
    </row>
    <row r="66" spans="1:8">
      <c r="A66" s="15">
        <v>4065</v>
      </c>
      <c r="B66" s="7" t="s">
        <v>32</v>
      </c>
      <c r="C66" s="7" t="s">
        <v>14</v>
      </c>
      <c r="D66" s="7" t="s">
        <v>22</v>
      </c>
      <c r="E66" s="6">
        <v>26</v>
      </c>
      <c r="F66" s="26">
        <v>8</v>
      </c>
      <c r="G66" s="9">
        <v>45415</v>
      </c>
      <c r="H66" s="10">
        <f t="shared" si="0"/>
        <v>208</v>
      </c>
    </row>
    <row r="67" spans="1:8">
      <c r="A67" s="15">
        <v>4066</v>
      </c>
      <c r="B67" s="7" t="s">
        <v>34</v>
      </c>
      <c r="C67" s="7" t="s">
        <v>17</v>
      </c>
      <c r="D67" s="7" t="s">
        <v>9</v>
      </c>
      <c r="E67" s="6">
        <v>18</v>
      </c>
      <c r="F67" s="26">
        <v>50</v>
      </c>
      <c r="G67" s="9">
        <v>45446</v>
      </c>
      <c r="H67" s="10">
        <f t="shared" ref="H67:H71" si="1">E67*F67</f>
        <v>900</v>
      </c>
    </row>
    <row r="68" spans="1:8">
      <c r="A68" s="15">
        <v>4067</v>
      </c>
      <c r="B68" s="7" t="s">
        <v>36</v>
      </c>
      <c r="C68" s="7" t="s">
        <v>8</v>
      </c>
      <c r="D68" s="7" t="s">
        <v>15</v>
      </c>
      <c r="E68" s="6">
        <v>14</v>
      </c>
      <c r="F68" s="26">
        <v>25</v>
      </c>
      <c r="G68" s="9">
        <v>45476</v>
      </c>
      <c r="H68" s="10">
        <f t="shared" si="1"/>
        <v>350</v>
      </c>
    </row>
    <row r="69" spans="1:8">
      <c r="A69" s="15">
        <v>4068</v>
      </c>
      <c r="B69" s="7" t="s">
        <v>38</v>
      </c>
      <c r="C69" s="7" t="s">
        <v>11</v>
      </c>
      <c r="D69" s="7" t="s">
        <v>12</v>
      </c>
      <c r="E69" s="6">
        <v>28</v>
      </c>
      <c r="F69" s="26">
        <v>10</v>
      </c>
      <c r="G69" s="9">
        <v>45507</v>
      </c>
      <c r="H69" s="10">
        <f t="shared" si="1"/>
        <v>280</v>
      </c>
    </row>
    <row r="70" spans="1:8">
      <c r="A70" s="15">
        <v>4069</v>
      </c>
      <c r="B70" s="7" t="s">
        <v>40</v>
      </c>
      <c r="C70" s="7" t="s">
        <v>14</v>
      </c>
      <c r="D70" s="7" t="s">
        <v>19</v>
      </c>
      <c r="E70" s="6">
        <v>32</v>
      </c>
      <c r="F70" s="26">
        <v>5</v>
      </c>
      <c r="G70" s="9">
        <v>45538</v>
      </c>
      <c r="H70" s="10">
        <f t="shared" si="1"/>
        <v>160</v>
      </c>
    </row>
    <row r="71" spans="1:8">
      <c r="A71" s="15">
        <v>4070</v>
      </c>
      <c r="B71" s="7" t="s">
        <v>42</v>
      </c>
      <c r="C71" s="7" t="s">
        <v>17</v>
      </c>
      <c r="D71" s="7" t="s">
        <v>22</v>
      </c>
      <c r="E71" s="6">
        <v>24</v>
      </c>
      <c r="F71" s="26">
        <v>8</v>
      </c>
      <c r="G71" s="9">
        <v>45568</v>
      </c>
      <c r="H71" s="10">
        <f t="shared" si="1"/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2498-E3AB-423A-BC97-6E55B6ECA950}">
  <dimension ref="A1:M71"/>
  <sheetViews>
    <sheetView topLeftCell="A31" workbookViewId="0">
      <selection activeCell="K18" sqref="K18"/>
    </sheetView>
  </sheetViews>
  <sheetFormatPr defaultRowHeight="14.4"/>
  <cols>
    <col min="2" max="2" width="16.33203125" bestFit="1" customWidth="1"/>
    <col min="3" max="3" width="8" bestFit="1" customWidth="1"/>
    <col min="4" max="4" width="9.5546875" bestFit="1" customWidth="1"/>
    <col min="5" max="5" width="9.21875" bestFit="1" customWidth="1"/>
    <col min="6" max="6" width="10.109375" bestFit="1" customWidth="1"/>
    <col min="7" max="7" width="12.88671875" customWidth="1"/>
    <col min="8" max="8" width="11.88671875" bestFit="1" customWidth="1"/>
    <col min="11" max="11" width="28.21875" bestFit="1" customWidth="1"/>
    <col min="12" max="12" width="9.44140625" bestFit="1" customWidth="1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7" t="s">
        <v>102</v>
      </c>
    </row>
    <row r="2" spans="1:13">
      <c r="A2" s="15">
        <v>4001</v>
      </c>
      <c r="B2" s="7" t="s">
        <v>7</v>
      </c>
      <c r="C2" s="7" t="s">
        <v>8</v>
      </c>
      <c r="D2" s="7" t="s">
        <v>9</v>
      </c>
      <c r="E2" s="6">
        <v>10</v>
      </c>
      <c r="F2" s="26">
        <v>50</v>
      </c>
      <c r="G2" s="9">
        <v>45292</v>
      </c>
      <c r="H2" s="10">
        <f>E2*F2</f>
        <v>500</v>
      </c>
      <c r="K2" s="11" t="s">
        <v>114</v>
      </c>
      <c r="L2" s="12" t="s">
        <v>117</v>
      </c>
      <c r="M2" s="12" t="s">
        <v>118</v>
      </c>
    </row>
    <row r="3" spans="1:13">
      <c r="A3" s="15">
        <v>4002</v>
      </c>
      <c r="B3" s="7" t="s">
        <v>10</v>
      </c>
      <c r="C3" s="7" t="s">
        <v>11</v>
      </c>
      <c r="D3" s="7" t="s">
        <v>12</v>
      </c>
      <c r="E3" s="6">
        <v>20</v>
      </c>
      <c r="F3" s="26">
        <v>10</v>
      </c>
      <c r="G3" s="9">
        <v>45323</v>
      </c>
      <c r="H3" s="10">
        <f t="shared" ref="H3:H66" si="0">E3*F3</f>
        <v>200</v>
      </c>
      <c r="K3" s="12" t="s">
        <v>115</v>
      </c>
      <c r="L3" s="10">
        <f>MAX(H2:H71)</f>
        <v>1000</v>
      </c>
      <c r="M3" s="12">
        <f>_xlfn.XLOOKUP(MAX(H2:H71), H2:H71,A2:A71)</f>
        <v>4057</v>
      </c>
    </row>
    <row r="4" spans="1:13">
      <c r="A4" s="15">
        <v>4003</v>
      </c>
      <c r="B4" s="7" t="s">
        <v>13</v>
      </c>
      <c r="C4" s="7" t="s">
        <v>14</v>
      </c>
      <c r="D4" s="7" t="s">
        <v>15</v>
      </c>
      <c r="E4" s="6">
        <v>15</v>
      </c>
      <c r="F4" s="26">
        <v>25</v>
      </c>
      <c r="G4" s="9">
        <v>45352</v>
      </c>
      <c r="H4" s="10">
        <f t="shared" si="0"/>
        <v>375</v>
      </c>
      <c r="K4" s="12" t="s">
        <v>116</v>
      </c>
      <c r="L4" s="10">
        <f>MIN(H2:H71)</f>
        <v>90</v>
      </c>
      <c r="M4" s="12">
        <f>_xlfn.XLOOKUP(MIN(H2:H71),H2:H71,A2:A71)</f>
        <v>4032</v>
      </c>
    </row>
    <row r="5" spans="1:13">
      <c r="A5" s="15">
        <v>4004</v>
      </c>
      <c r="B5" s="7" t="s">
        <v>16</v>
      </c>
      <c r="C5" s="7" t="s">
        <v>17</v>
      </c>
      <c r="D5" s="7" t="s">
        <v>9</v>
      </c>
      <c r="E5" s="6">
        <v>5</v>
      </c>
      <c r="F5" s="26">
        <v>50</v>
      </c>
      <c r="G5" s="9">
        <v>45383</v>
      </c>
      <c r="H5" s="10">
        <f t="shared" si="0"/>
        <v>250</v>
      </c>
    </row>
    <row r="6" spans="1:13">
      <c r="A6" s="15">
        <v>4005</v>
      </c>
      <c r="B6" s="7" t="s">
        <v>18</v>
      </c>
      <c r="C6" s="7" t="s">
        <v>8</v>
      </c>
      <c r="D6" s="7" t="s">
        <v>19</v>
      </c>
      <c r="E6" s="6">
        <v>30</v>
      </c>
      <c r="F6" s="26">
        <v>5</v>
      </c>
      <c r="G6" s="9">
        <v>45413</v>
      </c>
      <c r="H6" s="10">
        <f t="shared" si="0"/>
        <v>150</v>
      </c>
    </row>
    <row r="7" spans="1:13">
      <c r="A7" s="15">
        <v>4006</v>
      </c>
      <c r="B7" s="7" t="s">
        <v>20</v>
      </c>
      <c r="C7" s="7" t="s">
        <v>11</v>
      </c>
      <c r="D7" s="7" t="s">
        <v>9</v>
      </c>
      <c r="E7" s="6">
        <v>12</v>
      </c>
      <c r="F7" s="26">
        <v>50</v>
      </c>
      <c r="G7" s="9">
        <v>45444</v>
      </c>
      <c r="H7" s="10">
        <f t="shared" si="0"/>
        <v>600</v>
      </c>
    </row>
    <row r="8" spans="1:13">
      <c r="A8" s="15">
        <v>4007</v>
      </c>
      <c r="B8" s="7" t="s">
        <v>21</v>
      </c>
      <c r="C8" s="7" t="s">
        <v>14</v>
      </c>
      <c r="D8" s="7" t="s">
        <v>22</v>
      </c>
      <c r="E8" s="6">
        <v>25</v>
      </c>
      <c r="F8" s="26">
        <v>8</v>
      </c>
      <c r="G8" s="9">
        <v>45474</v>
      </c>
      <c r="H8" s="10">
        <f t="shared" si="0"/>
        <v>200</v>
      </c>
    </row>
    <row r="9" spans="1:13">
      <c r="A9" s="15">
        <v>4008</v>
      </c>
      <c r="B9" s="7" t="s">
        <v>23</v>
      </c>
      <c r="C9" s="7" t="s">
        <v>17</v>
      </c>
      <c r="D9" s="7" t="s">
        <v>12</v>
      </c>
      <c r="E9" s="6">
        <v>18</v>
      </c>
      <c r="F9" s="26">
        <v>10</v>
      </c>
      <c r="G9" s="9">
        <v>45505</v>
      </c>
      <c r="H9" s="10">
        <f t="shared" si="0"/>
        <v>180</v>
      </c>
    </row>
    <row r="10" spans="1:13">
      <c r="A10" s="15">
        <v>4009</v>
      </c>
      <c r="B10" s="7" t="s">
        <v>24</v>
      </c>
      <c r="C10" s="7" t="s">
        <v>8</v>
      </c>
      <c r="D10" s="7" t="s">
        <v>15</v>
      </c>
      <c r="E10" s="6">
        <v>22</v>
      </c>
      <c r="F10" s="26">
        <v>25</v>
      </c>
      <c r="G10" s="9">
        <v>45536</v>
      </c>
      <c r="H10" s="10">
        <f t="shared" si="0"/>
        <v>550</v>
      </c>
    </row>
    <row r="11" spans="1:13">
      <c r="A11" s="15">
        <v>4010</v>
      </c>
      <c r="B11" s="7" t="s">
        <v>25</v>
      </c>
      <c r="C11" s="7" t="s">
        <v>11</v>
      </c>
      <c r="D11" s="7" t="s">
        <v>9</v>
      </c>
      <c r="E11" s="6">
        <v>8</v>
      </c>
      <c r="F11" s="26">
        <v>50</v>
      </c>
      <c r="G11" s="9">
        <v>45566</v>
      </c>
      <c r="H11" s="10">
        <f t="shared" si="0"/>
        <v>400</v>
      </c>
    </row>
    <row r="12" spans="1:13">
      <c r="A12" s="15">
        <v>4011</v>
      </c>
      <c r="B12" s="7" t="s">
        <v>26</v>
      </c>
      <c r="C12" s="7" t="s">
        <v>14</v>
      </c>
      <c r="D12" s="7" t="s">
        <v>19</v>
      </c>
      <c r="E12" s="6">
        <v>40</v>
      </c>
      <c r="F12" s="26">
        <v>5</v>
      </c>
      <c r="G12" s="9">
        <v>45597</v>
      </c>
      <c r="H12" s="10">
        <f t="shared" si="0"/>
        <v>200</v>
      </c>
    </row>
    <row r="13" spans="1:13">
      <c r="A13" s="15">
        <v>4012</v>
      </c>
      <c r="B13" s="7" t="s">
        <v>27</v>
      </c>
      <c r="C13" s="7" t="s">
        <v>17</v>
      </c>
      <c r="D13" s="7" t="s">
        <v>22</v>
      </c>
      <c r="E13" s="6">
        <v>35</v>
      </c>
      <c r="F13" s="26">
        <v>8</v>
      </c>
      <c r="G13" s="9">
        <v>45627</v>
      </c>
      <c r="H13" s="10">
        <f t="shared" si="0"/>
        <v>280</v>
      </c>
    </row>
    <row r="14" spans="1:13">
      <c r="A14" s="15">
        <v>4013</v>
      </c>
      <c r="B14" s="7" t="s">
        <v>28</v>
      </c>
      <c r="C14" s="7" t="s">
        <v>8</v>
      </c>
      <c r="D14" s="7" t="s">
        <v>9</v>
      </c>
      <c r="E14" s="6">
        <v>14</v>
      </c>
      <c r="F14" s="26">
        <v>50</v>
      </c>
      <c r="G14" s="6" t="s">
        <v>29</v>
      </c>
      <c r="H14" s="10">
        <f t="shared" si="0"/>
        <v>700</v>
      </c>
    </row>
    <row r="15" spans="1:13">
      <c r="A15" s="15">
        <v>4014</v>
      </c>
      <c r="B15" s="7" t="s">
        <v>30</v>
      </c>
      <c r="C15" s="7" t="s">
        <v>11</v>
      </c>
      <c r="D15" s="7" t="s">
        <v>12</v>
      </c>
      <c r="E15" s="6">
        <v>28</v>
      </c>
      <c r="F15" s="26">
        <v>10</v>
      </c>
      <c r="G15" s="6" t="s">
        <v>31</v>
      </c>
      <c r="H15" s="10">
        <f t="shared" si="0"/>
        <v>280</v>
      </c>
    </row>
    <row r="16" spans="1:13">
      <c r="A16" s="15">
        <v>4015</v>
      </c>
      <c r="B16" s="7" t="s">
        <v>32</v>
      </c>
      <c r="C16" s="7" t="s">
        <v>14</v>
      </c>
      <c r="D16" s="7" t="s">
        <v>15</v>
      </c>
      <c r="E16" s="6">
        <v>12</v>
      </c>
      <c r="F16" s="26">
        <v>25</v>
      </c>
      <c r="G16" s="6" t="s">
        <v>33</v>
      </c>
      <c r="H16" s="10">
        <f t="shared" si="0"/>
        <v>300</v>
      </c>
    </row>
    <row r="17" spans="1:8">
      <c r="A17" s="15">
        <v>4016</v>
      </c>
      <c r="B17" s="7" t="s">
        <v>34</v>
      </c>
      <c r="C17" s="7" t="s">
        <v>17</v>
      </c>
      <c r="D17" s="7" t="s">
        <v>19</v>
      </c>
      <c r="E17" s="6">
        <v>25</v>
      </c>
      <c r="F17" s="26">
        <v>5</v>
      </c>
      <c r="G17" s="6" t="s">
        <v>35</v>
      </c>
      <c r="H17" s="10">
        <f t="shared" si="0"/>
        <v>125</v>
      </c>
    </row>
    <row r="18" spans="1:8">
      <c r="A18" s="15">
        <v>4017</v>
      </c>
      <c r="B18" s="7" t="s">
        <v>36</v>
      </c>
      <c r="C18" s="7" t="s">
        <v>8</v>
      </c>
      <c r="D18" s="7" t="s">
        <v>22</v>
      </c>
      <c r="E18" s="6">
        <v>20</v>
      </c>
      <c r="F18" s="26">
        <v>8</v>
      </c>
      <c r="G18" s="6" t="s">
        <v>37</v>
      </c>
      <c r="H18" s="10">
        <f t="shared" si="0"/>
        <v>160</v>
      </c>
    </row>
    <row r="19" spans="1:8">
      <c r="A19" s="15">
        <v>4018</v>
      </c>
      <c r="B19" s="7" t="s">
        <v>38</v>
      </c>
      <c r="C19" s="7" t="s">
        <v>11</v>
      </c>
      <c r="D19" s="7" t="s">
        <v>9</v>
      </c>
      <c r="E19" s="6">
        <v>10</v>
      </c>
      <c r="F19" s="26">
        <v>50</v>
      </c>
      <c r="G19" s="6" t="s">
        <v>39</v>
      </c>
      <c r="H19" s="10">
        <f t="shared" si="0"/>
        <v>500</v>
      </c>
    </row>
    <row r="20" spans="1:8">
      <c r="A20" s="15">
        <v>4019</v>
      </c>
      <c r="B20" s="7" t="s">
        <v>40</v>
      </c>
      <c r="C20" s="7" t="s">
        <v>14</v>
      </c>
      <c r="D20" s="7" t="s">
        <v>12</v>
      </c>
      <c r="E20" s="6">
        <v>15</v>
      </c>
      <c r="F20" s="26">
        <v>10</v>
      </c>
      <c r="G20" s="6" t="s">
        <v>41</v>
      </c>
      <c r="H20" s="10">
        <f t="shared" si="0"/>
        <v>150</v>
      </c>
    </row>
    <row r="21" spans="1:8">
      <c r="A21" s="15">
        <v>4020</v>
      </c>
      <c r="B21" s="7" t="s">
        <v>42</v>
      </c>
      <c r="C21" s="7" t="s">
        <v>17</v>
      </c>
      <c r="D21" s="7" t="s">
        <v>15</v>
      </c>
      <c r="E21" s="6">
        <v>18</v>
      </c>
      <c r="F21" s="26">
        <v>25</v>
      </c>
      <c r="G21" s="6" t="s">
        <v>43</v>
      </c>
      <c r="H21" s="10">
        <f t="shared" si="0"/>
        <v>450</v>
      </c>
    </row>
    <row r="22" spans="1:8">
      <c r="A22" s="15">
        <v>4021</v>
      </c>
      <c r="B22" s="7" t="s">
        <v>44</v>
      </c>
      <c r="C22" s="7" t="s">
        <v>8</v>
      </c>
      <c r="D22" s="7" t="s">
        <v>9</v>
      </c>
      <c r="E22" s="6">
        <v>9</v>
      </c>
      <c r="F22" s="26">
        <v>50</v>
      </c>
      <c r="G22" s="6" t="s">
        <v>45</v>
      </c>
      <c r="H22" s="10">
        <f t="shared" si="0"/>
        <v>450</v>
      </c>
    </row>
    <row r="23" spans="1:8">
      <c r="A23" s="15">
        <v>4022</v>
      </c>
      <c r="B23" s="7" t="s">
        <v>46</v>
      </c>
      <c r="C23" s="7" t="s">
        <v>11</v>
      </c>
      <c r="D23" s="7" t="s">
        <v>19</v>
      </c>
      <c r="E23" s="6">
        <v>35</v>
      </c>
      <c r="F23" s="26">
        <v>5</v>
      </c>
      <c r="G23" s="6" t="s">
        <v>47</v>
      </c>
      <c r="H23" s="10">
        <f t="shared" si="0"/>
        <v>175</v>
      </c>
    </row>
    <row r="24" spans="1:8">
      <c r="A24" s="15">
        <v>4023</v>
      </c>
      <c r="B24" s="7" t="s">
        <v>48</v>
      </c>
      <c r="C24" s="7" t="s">
        <v>14</v>
      </c>
      <c r="D24" s="7" t="s">
        <v>22</v>
      </c>
      <c r="E24" s="6">
        <v>30</v>
      </c>
      <c r="F24" s="26">
        <v>8</v>
      </c>
      <c r="G24" s="6" t="s">
        <v>49</v>
      </c>
      <c r="H24" s="10">
        <f t="shared" si="0"/>
        <v>240</v>
      </c>
    </row>
    <row r="25" spans="1:8">
      <c r="A25" s="15">
        <v>4024</v>
      </c>
      <c r="B25" s="7" t="s">
        <v>50</v>
      </c>
      <c r="C25" s="7" t="s">
        <v>17</v>
      </c>
      <c r="D25" s="7" t="s">
        <v>9</v>
      </c>
      <c r="E25" s="6">
        <v>11</v>
      </c>
      <c r="F25" s="26">
        <v>50</v>
      </c>
      <c r="G25" s="6" t="s">
        <v>51</v>
      </c>
      <c r="H25" s="10">
        <f t="shared" si="0"/>
        <v>550</v>
      </c>
    </row>
    <row r="26" spans="1:8">
      <c r="A26" s="15">
        <v>4025</v>
      </c>
      <c r="B26" s="7" t="s">
        <v>52</v>
      </c>
      <c r="C26" s="7" t="s">
        <v>8</v>
      </c>
      <c r="D26" s="7" t="s">
        <v>12</v>
      </c>
      <c r="E26" s="6">
        <v>14</v>
      </c>
      <c r="F26" s="26">
        <v>10</v>
      </c>
      <c r="G26" s="6" t="s">
        <v>53</v>
      </c>
      <c r="H26" s="10">
        <f t="shared" si="0"/>
        <v>140</v>
      </c>
    </row>
    <row r="27" spans="1:8">
      <c r="A27" s="15">
        <v>4026</v>
      </c>
      <c r="B27" s="7" t="s">
        <v>54</v>
      </c>
      <c r="C27" s="7" t="s">
        <v>11</v>
      </c>
      <c r="D27" s="7" t="s">
        <v>15</v>
      </c>
      <c r="E27" s="6">
        <v>16</v>
      </c>
      <c r="F27" s="26">
        <v>25</v>
      </c>
      <c r="G27" s="6" t="s">
        <v>55</v>
      </c>
      <c r="H27" s="10">
        <f t="shared" si="0"/>
        <v>400</v>
      </c>
    </row>
    <row r="28" spans="1:8">
      <c r="A28" s="15">
        <v>4027</v>
      </c>
      <c r="B28" s="7" t="s">
        <v>56</v>
      </c>
      <c r="C28" s="7" t="s">
        <v>14</v>
      </c>
      <c r="D28" s="7" t="s">
        <v>19</v>
      </c>
      <c r="E28" s="6">
        <v>22</v>
      </c>
      <c r="F28" s="26">
        <v>5</v>
      </c>
      <c r="G28" s="6" t="s">
        <v>57</v>
      </c>
      <c r="H28" s="10">
        <f t="shared" si="0"/>
        <v>110</v>
      </c>
    </row>
    <row r="29" spans="1:8">
      <c r="A29" s="15">
        <v>4028</v>
      </c>
      <c r="B29" s="7" t="s">
        <v>58</v>
      </c>
      <c r="C29" s="7" t="s">
        <v>17</v>
      </c>
      <c r="D29" s="7" t="s">
        <v>22</v>
      </c>
      <c r="E29" s="6">
        <v>27</v>
      </c>
      <c r="F29" s="26">
        <v>8</v>
      </c>
      <c r="G29" s="6" t="s">
        <v>59</v>
      </c>
      <c r="H29" s="10">
        <f t="shared" si="0"/>
        <v>216</v>
      </c>
    </row>
    <row r="30" spans="1:8">
      <c r="A30" s="15">
        <v>4029</v>
      </c>
      <c r="B30" s="7" t="s">
        <v>60</v>
      </c>
      <c r="C30" s="7" t="s">
        <v>8</v>
      </c>
      <c r="D30" s="7" t="s">
        <v>9</v>
      </c>
      <c r="E30" s="6">
        <v>13</v>
      </c>
      <c r="F30" s="26">
        <v>50</v>
      </c>
      <c r="G30" s="6" t="s">
        <v>61</v>
      </c>
      <c r="H30" s="10">
        <f t="shared" si="0"/>
        <v>650</v>
      </c>
    </row>
    <row r="31" spans="1:8">
      <c r="A31" s="15">
        <v>4030</v>
      </c>
      <c r="B31" s="7" t="s">
        <v>62</v>
      </c>
      <c r="C31" s="7" t="s">
        <v>11</v>
      </c>
      <c r="D31" s="7" t="s">
        <v>12</v>
      </c>
      <c r="E31" s="6">
        <v>32</v>
      </c>
      <c r="F31" s="26">
        <v>10</v>
      </c>
      <c r="G31" s="6" t="s">
        <v>63</v>
      </c>
      <c r="H31" s="10">
        <f t="shared" si="0"/>
        <v>320</v>
      </c>
    </row>
    <row r="32" spans="1:8">
      <c r="A32" s="15">
        <v>4031</v>
      </c>
      <c r="B32" s="7" t="s">
        <v>64</v>
      </c>
      <c r="C32" s="7" t="s">
        <v>14</v>
      </c>
      <c r="D32" s="7" t="s">
        <v>15</v>
      </c>
      <c r="E32" s="6">
        <v>10</v>
      </c>
      <c r="F32" s="26">
        <v>25</v>
      </c>
      <c r="G32" s="6" t="s">
        <v>65</v>
      </c>
      <c r="H32" s="10">
        <f t="shared" si="0"/>
        <v>250</v>
      </c>
    </row>
    <row r="33" spans="1:8">
      <c r="A33" s="15">
        <v>4032</v>
      </c>
      <c r="B33" s="7" t="s">
        <v>66</v>
      </c>
      <c r="C33" s="7" t="s">
        <v>17</v>
      </c>
      <c r="D33" s="7" t="s">
        <v>19</v>
      </c>
      <c r="E33" s="6">
        <v>18</v>
      </c>
      <c r="F33" s="26">
        <v>5</v>
      </c>
      <c r="G33" s="9">
        <v>45293</v>
      </c>
      <c r="H33" s="10">
        <f t="shared" si="0"/>
        <v>90</v>
      </c>
    </row>
    <row r="34" spans="1:8">
      <c r="A34" s="15">
        <v>4033</v>
      </c>
      <c r="B34" s="7" t="s">
        <v>67</v>
      </c>
      <c r="C34" s="7" t="s">
        <v>8</v>
      </c>
      <c r="D34" s="7" t="s">
        <v>22</v>
      </c>
      <c r="E34" s="6">
        <v>22</v>
      </c>
      <c r="F34" s="26">
        <v>8</v>
      </c>
      <c r="G34" s="9">
        <v>45324</v>
      </c>
      <c r="H34" s="10">
        <f t="shared" si="0"/>
        <v>176</v>
      </c>
    </row>
    <row r="35" spans="1:8">
      <c r="A35" s="15">
        <v>4034</v>
      </c>
      <c r="B35" s="7" t="s">
        <v>68</v>
      </c>
      <c r="C35" s="7" t="s">
        <v>11</v>
      </c>
      <c r="D35" s="7" t="s">
        <v>9</v>
      </c>
      <c r="E35" s="6">
        <v>17</v>
      </c>
      <c r="F35" s="26">
        <v>50</v>
      </c>
      <c r="G35" s="9">
        <v>45353</v>
      </c>
      <c r="H35" s="10">
        <f t="shared" si="0"/>
        <v>850</v>
      </c>
    </row>
    <row r="36" spans="1:8">
      <c r="A36" s="15">
        <v>4035</v>
      </c>
      <c r="B36" s="7" t="s">
        <v>69</v>
      </c>
      <c r="C36" s="7" t="s">
        <v>14</v>
      </c>
      <c r="D36" s="7" t="s">
        <v>12</v>
      </c>
      <c r="E36" s="6">
        <v>19</v>
      </c>
      <c r="F36" s="26">
        <v>10</v>
      </c>
      <c r="G36" s="9">
        <v>45384</v>
      </c>
      <c r="H36" s="10">
        <f t="shared" si="0"/>
        <v>190</v>
      </c>
    </row>
    <row r="37" spans="1:8">
      <c r="A37" s="15">
        <v>4036</v>
      </c>
      <c r="B37" s="7" t="s">
        <v>70</v>
      </c>
      <c r="C37" s="7" t="s">
        <v>17</v>
      </c>
      <c r="D37" s="7" t="s">
        <v>15</v>
      </c>
      <c r="E37" s="6">
        <v>15</v>
      </c>
      <c r="F37" s="26">
        <v>25</v>
      </c>
      <c r="G37" s="9">
        <v>45414</v>
      </c>
      <c r="H37" s="10">
        <f t="shared" si="0"/>
        <v>375</v>
      </c>
    </row>
    <row r="38" spans="1:8">
      <c r="A38" s="15">
        <v>4037</v>
      </c>
      <c r="B38" s="7" t="s">
        <v>71</v>
      </c>
      <c r="C38" s="7" t="s">
        <v>8</v>
      </c>
      <c r="D38" s="7" t="s">
        <v>19</v>
      </c>
      <c r="E38" s="6">
        <v>28</v>
      </c>
      <c r="F38" s="26">
        <v>5</v>
      </c>
      <c r="G38" s="9">
        <v>45445</v>
      </c>
      <c r="H38" s="10">
        <f t="shared" si="0"/>
        <v>140</v>
      </c>
    </row>
    <row r="39" spans="1:8">
      <c r="A39" s="15">
        <v>4038</v>
      </c>
      <c r="B39" s="7" t="s">
        <v>72</v>
      </c>
      <c r="C39" s="7" t="s">
        <v>11</v>
      </c>
      <c r="D39" s="7" t="s">
        <v>22</v>
      </c>
      <c r="E39" s="6">
        <v>24</v>
      </c>
      <c r="F39" s="26">
        <v>8</v>
      </c>
      <c r="G39" s="9">
        <v>45475</v>
      </c>
      <c r="H39" s="10">
        <f t="shared" si="0"/>
        <v>192</v>
      </c>
    </row>
    <row r="40" spans="1:8">
      <c r="A40" s="15">
        <v>4039</v>
      </c>
      <c r="B40" s="7" t="s">
        <v>73</v>
      </c>
      <c r="C40" s="7" t="s">
        <v>14</v>
      </c>
      <c r="D40" s="7" t="s">
        <v>9</v>
      </c>
      <c r="E40" s="6">
        <v>16</v>
      </c>
      <c r="F40" s="26">
        <v>50</v>
      </c>
      <c r="G40" s="9">
        <v>45506</v>
      </c>
      <c r="H40" s="10">
        <f t="shared" si="0"/>
        <v>800</v>
      </c>
    </row>
    <row r="41" spans="1:8">
      <c r="A41" s="15">
        <v>4040</v>
      </c>
      <c r="B41" s="7" t="s">
        <v>74</v>
      </c>
      <c r="C41" s="7" t="s">
        <v>17</v>
      </c>
      <c r="D41" s="7" t="s">
        <v>12</v>
      </c>
      <c r="E41" s="6">
        <v>27</v>
      </c>
      <c r="F41" s="26">
        <v>10</v>
      </c>
      <c r="G41" s="9">
        <v>45537</v>
      </c>
      <c r="H41" s="10">
        <f t="shared" si="0"/>
        <v>270</v>
      </c>
    </row>
    <row r="42" spans="1:8">
      <c r="A42" s="15">
        <v>4041</v>
      </c>
      <c r="B42" s="7" t="s">
        <v>75</v>
      </c>
      <c r="C42" s="7" t="s">
        <v>8</v>
      </c>
      <c r="D42" s="7" t="s">
        <v>15</v>
      </c>
      <c r="E42" s="6">
        <v>21</v>
      </c>
      <c r="F42" s="26">
        <v>25</v>
      </c>
      <c r="G42" s="9">
        <v>45567</v>
      </c>
      <c r="H42" s="10">
        <f t="shared" si="0"/>
        <v>525</v>
      </c>
    </row>
    <row r="43" spans="1:8">
      <c r="A43" s="15">
        <v>4042</v>
      </c>
      <c r="B43" s="7" t="s">
        <v>76</v>
      </c>
      <c r="C43" s="7" t="s">
        <v>11</v>
      </c>
      <c r="D43" s="7" t="s">
        <v>19</v>
      </c>
      <c r="E43" s="6">
        <v>30</v>
      </c>
      <c r="F43" s="26">
        <v>5</v>
      </c>
      <c r="G43" s="9">
        <v>45598</v>
      </c>
      <c r="H43" s="10">
        <f t="shared" si="0"/>
        <v>150</v>
      </c>
    </row>
    <row r="44" spans="1:8">
      <c r="A44" s="15">
        <v>4043</v>
      </c>
      <c r="B44" s="7" t="s">
        <v>77</v>
      </c>
      <c r="C44" s="7" t="s">
        <v>14</v>
      </c>
      <c r="D44" s="7" t="s">
        <v>22</v>
      </c>
      <c r="E44" s="6">
        <v>26</v>
      </c>
      <c r="F44" s="26">
        <v>8</v>
      </c>
      <c r="G44" s="9">
        <v>45628</v>
      </c>
      <c r="H44" s="10">
        <f t="shared" si="0"/>
        <v>208</v>
      </c>
    </row>
    <row r="45" spans="1:8">
      <c r="A45" s="15">
        <v>4044</v>
      </c>
      <c r="B45" s="7" t="s">
        <v>78</v>
      </c>
      <c r="C45" s="7" t="s">
        <v>17</v>
      </c>
      <c r="D45" s="7" t="s">
        <v>9</v>
      </c>
      <c r="E45" s="6">
        <v>14</v>
      </c>
      <c r="F45" s="26">
        <v>50</v>
      </c>
      <c r="G45" s="6" t="s">
        <v>79</v>
      </c>
      <c r="H45" s="10">
        <f t="shared" si="0"/>
        <v>700</v>
      </c>
    </row>
    <row r="46" spans="1:8">
      <c r="A46" s="15">
        <v>4045</v>
      </c>
      <c r="B46" s="7" t="s">
        <v>80</v>
      </c>
      <c r="C46" s="7" t="s">
        <v>8</v>
      </c>
      <c r="D46" s="7" t="s">
        <v>12</v>
      </c>
      <c r="E46" s="6">
        <v>20</v>
      </c>
      <c r="F46" s="26">
        <v>10</v>
      </c>
      <c r="G46" s="6" t="s">
        <v>81</v>
      </c>
      <c r="H46" s="10">
        <f t="shared" si="0"/>
        <v>200</v>
      </c>
    </row>
    <row r="47" spans="1:8">
      <c r="A47" s="15">
        <v>4046</v>
      </c>
      <c r="B47" s="7" t="s">
        <v>82</v>
      </c>
      <c r="C47" s="7" t="s">
        <v>11</v>
      </c>
      <c r="D47" s="7" t="s">
        <v>15</v>
      </c>
      <c r="E47" s="6">
        <v>17</v>
      </c>
      <c r="F47" s="26">
        <v>25</v>
      </c>
      <c r="G47" s="6" t="s">
        <v>83</v>
      </c>
      <c r="H47" s="10">
        <f t="shared" si="0"/>
        <v>425</v>
      </c>
    </row>
    <row r="48" spans="1:8">
      <c r="A48" s="15">
        <v>4047</v>
      </c>
      <c r="B48" s="7" t="s">
        <v>84</v>
      </c>
      <c r="C48" s="7" t="s">
        <v>14</v>
      </c>
      <c r="D48" s="7" t="s">
        <v>19</v>
      </c>
      <c r="E48" s="6">
        <v>19</v>
      </c>
      <c r="F48" s="26">
        <v>5</v>
      </c>
      <c r="G48" s="6" t="s">
        <v>85</v>
      </c>
      <c r="H48" s="10">
        <f t="shared" si="0"/>
        <v>95</v>
      </c>
    </row>
    <row r="49" spans="1:8">
      <c r="A49" s="15">
        <v>4048</v>
      </c>
      <c r="B49" s="7" t="s">
        <v>86</v>
      </c>
      <c r="C49" s="7" t="s">
        <v>17</v>
      </c>
      <c r="D49" s="7" t="s">
        <v>22</v>
      </c>
      <c r="E49" s="6">
        <v>32</v>
      </c>
      <c r="F49" s="26">
        <v>8</v>
      </c>
      <c r="G49" s="6" t="s">
        <v>87</v>
      </c>
      <c r="H49" s="10">
        <f t="shared" si="0"/>
        <v>256</v>
      </c>
    </row>
    <row r="50" spans="1:8">
      <c r="A50" s="15">
        <v>4049</v>
      </c>
      <c r="B50" s="7" t="s">
        <v>88</v>
      </c>
      <c r="C50" s="7" t="s">
        <v>8</v>
      </c>
      <c r="D50" s="7" t="s">
        <v>9</v>
      </c>
      <c r="E50" s="6">
        <v>12</v>
      </c>
      <c r="F50" s="26">
        <v>50</v>
      </c>
      <c r="G50" s="6" t="s">
        <v>89</v>
      </c>
      <c r="H50" s="10">
        <f t="shared" si="0"/>
        <v>600</v>
      </c>
    </row>
    <row r="51" spans="1:8">
      <c r="A51" s="15">
        <v>4050</v>
      </c>
      <c r="B51" s="7" t="s">
        <v>90</v>
      </c>
      <c r="C51" s="7" t="s">
        <v>11</v>
      </c>
      <c r="D51" s="7" t="s">
        <v>12</v>
      </c>
      <c r="E51" s="6">
        <v>25</v>
      </c>
      <c r="F51" s="26">
        <v>10</v>
      </c>
      <c r="G51" s="6" t="s">
        <v>91</v>
      </c>
      <c r="H51" s="10">
        <f t="shared" si="0"/>
        <v>250</v>
      </c>
    </row>
    <row r="52" spans="1:8">
      <c r="A52" s="15">
        <v>4051</v>
      </c>
      <c r="B52" s="7" t="s">
        <v>7</v>
      </c>
      <c r="C52" s="7" t="s">
        <v>8</v>
      </c>
      <c r="D52" s="7" t="s">
        <v>15</v>
      </c>
      <c r="E52" s="6">
        <v>18</v>
      </c>
      <c r="F52" s="26">
        <v>25</v>
      </c>
      <c r="G52" s="6" t="s">
        <v>92</v>
      </c>
      <c r="H52" s="10">
        <f t="shared" si="0"/>
        <v>450</v>
      </c>
    </row>
    <row r="53" spans="1:8">
      <c r="A53" s="15">
        <v>4052</v>
      </c>
      <c r="B53" s="7" t="s">
        <v>10</v>
      </c>
      <c r="C53" s="7" t="s">
        <v>11</v>
      </c>
      <c r="D53" s="7" t="s">
        <v>9</v>
      </c>
      <c r="E53" s="6">
        <v>14</v>
      </c>
      <c r="F53" s="26">
        <v>50</v>
      </c>
      <c r="G53" s="6" t="s">
        <v>93</v>
      </c>
      <c r="H53" s="10">
        <f t="shared" si="0"/>
        <v>700</v>
      </c>
    </row>
    <row r="54" spans="1:8">
      <c r="A54" s="15">
        <v>4053</v>
      </c>
      <c r="B54" s="7" t="s">
        <v>13</v>
      </c>
      <c r="C54" s="7" t="s">
        <v>14</v>
      </c>
      <c r="D54" s="7" t="s">
        <v>12</v>
      </c>
      <c r="E54" s="6">
        <v>22</v>
      </c>
      <c r="F54" s="26">
        <v>10</v>
      </c>
      <c r="G54" s="6" t="s">
        <v>94</v>
      </c>
      <c r="H54" s="10">
        <f t="shared" si="0"/>
        <v>220</v>
      </c>
    </row>
    <row r="55" spans="1:8">
      <c r="A55" s="15">
        <v>4054</v>
      </c>
      <c r="B55" s="7" t="s">
        <v>16</v>
      </c>
      <c r="C55" s="7" t="s">
        <v>17</v>
      </c>
      <c r="D55" s="7" t="s">
        <v>19</v>
      </c>
      <c r="E55" s="6">
        <v>26</v>
      </c>
      <c r="F55" s="26">
        <v>5</v>
      </c>
      <c r="G55" s="6" t="s">
        <v>95</v>
      </c>
      <c r="H55" s="10">
        <f t="shared" si="0"/>
        <v>130</v>
      </c>
    </row>
    <row r="56" spans="1:8">
      <c r="A56" s="15">
        <v>4055</v>
      </c>
      <c r="B56" s="7" t="s">
        <v>18</v>
      </c>
      <c r="C56" s="7" t="s">
        <v>8</v>
      </c>
      <c r="D56" s="7" t="s">
        <v>22</v>
      </c>
      <c r="E56" s="6">
        <v>28</v>
      </c>
      <c r="F56" s="26">
        <v>8</v>
      </c>
      <c r="G56" s="6" t="s">
        <v>96</v>
      </c>
      <c r="H56" s="10">
        <f t="shared" si="0"/>
        <v>224</v>
      </c>
    </row>
    <row r="57" spans="1:8">
      <c r="A57" s="15">
        <v>4056</v>
      </c>
      <c r="B57" s="7" t="s">
        <v>20</v>
      </c>
      <c r="C57" s="7" t="s">
        <v>11</v>
      </c>
      <c r="D57" s="7" t="s">
        <v>15</v>
      </c>
      <c r="E57" s="6">
        <v>16</v>
      </c>
      <c r="F57" s="26">
        <v>25</v>
      </c>
      <c r="G57" s="6" t="s">
        <v>97</v>
      </c>
      <c r="H57" s="10">
        <f t="shared" si="0"/>
        <v>400</v>
      </c>
    </row>
    <row r="58" spans="1:8">
      <c r="A58" s="15">
        <v>4057</v>
      </c>
      <c r="B58" s="7" t="s">
        <v>21</v>
      </c>
      <c r="C58" s="7" t="s">
        <v>14</v>
      </c>
      <c r="D58" s="7" t="s">
        <v>9</v>
      </c>
      <c r="E58" s="6">
        <v>20</v>
      </c>
      <c r="F58" s="26">
        <v>50</v>
      </c>
      <c r="G58" s="6" t="s">
        <v>98</v>
      </c>
      <c r="H58" s="10">
        <f t="shared" si="0"/>
        <v>1000</v>
      </c>
    </row>
    <row r="59" spans="1:8">
      <c r="A59" s="15">
        <v>4058</v>
      </c>
      <c r="B59" s="7" t="s">
        <v>23</v>
      </c>
      <c r="C59" s="7" t="s">
        <v>17</v>
      </c>
      <c r="D59" s="7" t="s">
        <v>12</v>
      </c>
      <c r="E59" s="6">
        <v>18</v>
      </c>
      <c r="F59" s="26">
        <v>10</v>
      </c>
      <c r="G59" s="6" t="s">
        <v>99</v>
      </c>
      <c r="H59" s="10">
        <f t="shared" si="0"/>
        <v>180</v>
      </c>
    </row>
    <row r="60" spans="1:8">
      <c r="A60" s="15">
        <v>4059</v>
      </c>
      <c r="B60" s="7" t="s">
        <v>24</v>
      </c>
      <c r="C60" s="7" t="s">
        <v>8</v>
      </c>
      <c r="D60" s="7" t="s">
        <v>19</v>
      </c>
      <c r="E60" s="6">
        <v>24</v>
      </c>
      <c r="F60" s="26">
        <v>5</v>
      </c>
      <c r="G60" s="6" t="s">
        <v>100</v>
      </c>
      <c r="H60" s="10">
        <f t="shared" si="0"/>
        <v>120</v>
      </c>
    </row>
    <row r="61" spans="1:8">
      <c r="A61" s="15">
        <v>4060</v>
      </c>
      <c r="B61" s="7" t="s">
        <v>25</v>
      </c>
      <c r="C61" s="7" t="s">
        <v>11</v>
      </c>
      <c r="D61" s="7" t="s">
        <v>22</v>
      </c>
      <c r="E61" s="6">
        <v>30</v>
      </c>
      <c r="F61" s="26">
        <v>8</v>
      </c>
      <c r="G61" s="6" t="s">
        <v>101</v>
      </c>
      <c r="H61" s="10">
        <f t="shared" si="0"/>
        <v>240</v>
      </c>
    </row>
    <row r="62" spans="1:8">
      <c r="A62" s="15">
        <v>4061</v>
      </c>
      <c r="B62" s="7" t="s">
        <v>26</v>
      </c>
      <c r="C62" s="7" t="s">
        <v>14</v>
      </c>
      <c r="D62" s="7" t="s">
        <v>9</v>
      </c>
      <c r="E62" s="6">
        <v>12</v>
      </c>
      <c r="F62" s="26">
        <v>50</v>
      </c>
      <c r="G62" s="9">
        <v>45294</v>
      </c>
      <c r="H62" s="10">
        <f t="shared" si="0"/>
        <v>600</v>
      </c>
    </row>
    <row r="63" spans="1:8">
      <c r="A63" s="15">
        <v>4062</v>
      </c>
      <c r="B63" s="7" t="s">
        <v>27</v>
      </c>
      <c r="C63" s="7" t="s">
        <v>17</v>
      </c>
      <c r="D63" s="7" t="s">
        <v>15</v>
      </c>
      <c r="E63" s="6">
        <v>15</v>
      </c>
      <c r="F63" s="26">
        <v>25</v>
      </c>
      <c r="G63" s="9">
        <v>45325</v>
      </c>
      <c r="H63" s="10">
        <f t="shared" si="0"/>
        <v>375</v>
      </c>
    </row>
    <row r="64" spans="1:8">
      <c r="A64" s="15">
        <v>4063</v>
      </c>
      <c r="B64" s="7" t="s">
        <v>28</v>
      </c>
      <c r="C64" s="7" t="s">
        <v>8</v>
      </c>
      <c r="D64" s="7" t="s">
        <v>12</v>
      </c>
      <c r="E64" s="6">
        <v>20</v>
      </c>
      <c r="F64" s="26">
        <v>10</v>
      </c>
      <c r="G64" s="9">
        <v>45354</v>
      </c>
      <c r="H64" s="10">
        <f t="shared" si="0"/>
        <v>200</v>
      </c>
    </row>
    <row r="65" spans="1:8">
      <c r="A65" s="15">
        <v>4064</v>
      </c>
      <c r="B65" s="7" t="s">
        <v>30</v>
      </c>
      <c r="C65" s="7" t="s">
        <v>11</v>
      </c>
      <c r="D65" s="7" t="s">
        <v>19</v>
      </c>
      <c r="E65" s="6">
        <v>22</v>
      </c>
      <c r="F65" s="26">
        <v>5</v>
      </c>
      <c r="G65" s="9">
        <v>45385</v>
      </c>
      <c r="H65" s="10">
        <f t="shared" si="0"/>
        <v>110</v>
      </c>
    </row>
    <row r="66" spans="1:8">
      <c r="A66" s="15">
        <v>4065</v>
      </c>
      <c r="B66" s="7" t="s">
        <v>32</v>
      </c>
      <c r="C66" s="7" t="s">
        <v>14</v>
      </c>
      <c r="D66" s="7" t="s">
        <v>22</v>
      </c>
      <c r="E66" s="6">
        <v>26</v>
      </c>
      <c r="F66" s="26">
        <v>8</v>
      </c>
      <c r="G66" s="9">
        <v>45415</v>
      </c>
      <c r="H66" s="10">
        <f t="shared" si="0"/>
        <v>208</v>
      </c>
    </row>
    <row r="67" spans="1:8">
      <c r="A67" s="15">
        <v>4066</v>
      </c>
      <c r="B67" s="7" t="s">
        <v>34</v>
      </c>
      <c r="C67" s="7" t="s">
        <v>17</v>
      </c>
      <c r="D67" s="7" t="s">
        <v>9</v>
      </c>
      <c r="E67" s="6">
        <v>18</v>
      </c>
      <c r="F67" s="26">
        <v>50</v>
      </c>
      <c r="G67" s="9">
        <v>45446</v>
      </c>
      <c r="H67" s="10">
        <f t="shared" ref="H67:H71" si="1">E67*F67</f>
        <v>900</v>
      </c>
    </row>
    <row r="68" spans="1:8">
      <c r="A68" s="15">
        <v>4067</v>
      </c>
      <c r="B68" s="7" t="s">
        <v>36</v>
      </c>
      <c r="C68" s="7" t="s">
        <v>8</v>
      </c>
      <c r="D68" s="7" t="s">
        <v>15</v>
      </c>
      <c r="E68" s="6">
        <v>14</v>
      </c>
      <c r="F68" s="26">
        <v>25</v>
      </c>
      <c r="G68" s="9">
        <v>45476</v>
      </c>
      <c r="H68" s="10">
        <f t="shared" si="1"/>
        <v>350</v>
      </c>
    </row>
    <row r="69" spans="1:8">
      <c r="A69" s="15">
        <v>4068</v>
      </c>
      <c r="B69" s="7" t="s">
        <v>38</v>
      </c>
      <c r="C69" s="7" t="s">
        <v>11</v>
      </c>
      <c r="D69" s="7" t="s">
        <v>12</v>
      </c>
      <c r="E69" s="6">
        <v>28</v>
      </c>
      <c r="F69" s="26">
        <v>10</v>
      </c>
      <c r="G69" s="9">
        <v>45507</v>
      </c>
      <c r="H69" s="10">
        <f t="shared" si="1"/>
        <v>280</v>
      </c>
    </row>
    <row r="70" spans="1:8">
      <c r="A70" s="15">
        <v>4069</v>
      </c>
      <c r="B70" s="7" t="s">
        <v>40</v>
      </c>
      <c r="C70" s="7" t="s">
        <v>14</v>
      </c>
      <c r="D70" s="7" t="s">
        <v>19</v>
      </c>
      <c r="E70" s="6">
        <v>32</v>
      </c>
      <c r="F70" s="26">
        <v>5</v>
      </c>
      <c r="G70" s="9">
        <v>45538</v>
      </c>
      <c r="H70" s="10">
        <f t="shared" si="1"/>
        <v>160</v>
      </c>
    </row>
    <row r="71" spans="1:8">
      <c r="A71" s="15">
        <v>4070</v>
      </c>
      <c r="B71" s="7" t="s">
        <v>42</v>
      </c>
      <c r="C71" s="7" t="s">
        <v>17</v>
      </c>
      <c r="D71" s="7" t="s">
        <v>22</v>
      </c>
      <c r="E71" s="6">
        <v>24</v>
      </c>
      <c r="F71" s="26">
        <v>8</v>
      </c>
      <c r="G71" s="9">
        <v>45568</v>
      </c>
      <c r="H71" s="10">
        <f t="shared" si="1"/>
        <v>192</v>
      </c>
    </row>
  </sheetData>
  <conditionalFormatting sqref="A2:H71">
    <cfRule type="expression" dxfId="6" priority="1">
      <formula>$H2=MIN($H$2:$H$71)</formula>
    </cfRule>
    <cfRule type="expression" dxfId="5" priority="2">
      <formula>$H2=MAX($H$2:$H$71)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18B9-EA30-4813-9636-BC177BDFCDA1}">
  <dimension ref="A1:J12"/>
  <sheetViews>
    <sheetView workbookViewId="0">
      <selection activeCell="H12" sqref="H12"/>
    </sheetView>
  </sheetViews>
  <sheetFormatPr defaultRowHeight="14.4"/>
  <cols>
    <col min="2" max="2" width="16.33203125" bestFit="1" customWidth="1"/>
    <col min="3" max="3" width="8" bestFit="1" customWidth="1"/>
    <col min="4" max="4" width="9.5546875" bestFit="1" customWidth="1"/>
    <col min="5" max="5" width="9.21875" bestFit="1" customWidth="1"/>
    <col min="6" max="6" width="10.109375" bestFit="1" customWidth="1"/>
    <col min="7" max="7" width="11.33203125" bestFit="1" customWidth="1"/>
    <col min="8" max="8" width="11.88671875" bestFit="1" customWidth="1"/>
    <col min="10" max="10" width="18.77734375" bestFit="1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1" t="s">
        <v>5</v>
      </c>
      <c r="G1" s="5" t="s">
        <v>6</v>
      </c>
      <c r="H1" s="21" t="s">
        <v>102</v>
      </c>
    </row>
    <row r="2" spans="1:10">
      <c r="A2" s="18">
        <v>4057</v>
      </c>
      <c r="B2" s="20" t="s">
        <v>21</v>
      </c>
      <c r="C2" s="20" t="s">
        <v>14</v>
      </c>
      <c r="D2" s="20" t="s">
        <v>9</v>
      </c>
      <c r="E2" s="18">
        <v>20</v>
      </c>
      <c r="F2" s="22">
        <v>50</v>
      </c>
      <c r="G2" s="18" t="s">
        <v>98</v>
      </c>
      <c r="H2" s="24">
        <f>E2*F2</f>
        <v>1000</v>
      </c>
      <c r="J2" t="s">
        <v>119</v>
      </c>
    </row>
    <row r="3" spans="1:10">
      <c r="A3" s="18">
        <v>4066</v>
      </c>
      <c r="B3" s="20" t="s">
        <v>34</v>
      </c>
      <c r="C3" s="20" t="s">
        <v>17</v>
      </c>
      <c r="D3" s="20" t="s">
        <v>9</v>
      </c>
      <c r="E3" s="18">
        <v>18</v>
      </c>
      <c r="F3" s="22">
        <v>50</v>
      </c>
      <c r="G3" s="19">
        <v>45446</v>
      </c>
      <c r="H3" s="24">
        <f>E3*F3</f>
        <v>900</v>
      </c>
    </row>
    <row r="4" spans="1:10">
      <c r="A4" s="18">
        <v>4034</v>
      </c>
      <c r="B4" s="20" t="s">
        <v>68</v>
      </c>
      <c r="C4" s="20" t="s">
        <v>11</v>
      </c>
      <c r="D4" s="20" t="s">
        <v>9</v>
      </c>
      <c r="E4" s="18">
        <v>17</v>
      </c>
      <c r="F4" s="22">
        <v>50</v>
      </c>
      <c r="G4" s="19">
        <v>45353</v>
      </c>
      <c r="H4" s="24">
        <f>E4*F4</f>
        <v>850</v>
      </c>
    </row>
    <row r="5" spans="1:10">
      <c r="A5" s="18">
        <v>4039</v>
      </c>
      <c r="B5" s="20" t="s">
        <v>73</v>
      </c>
      <c r="C5" s="20" t="s">
        <v>14</v>
      </c>
      <c r="D5" s="20" t="s">
        <v>9</v>
      </c>
      <c r="E5" s="18">
        <v>16</v>
      </c>
      <c r="F5" s="22">
        <v>50</v>
      </c>
      <c r="G5" s="19">
        <v>45506</v>
      </c>
      <c r="H5" s="24">
        <f>E5*F5</f>
        <v>800</v>
      </c>
    </row>
    <row r="6" spans="1:10">
      <c r="A6" s="18">
        <v>4013</v>
      </c>
      <c r="B6" s="20" t="s">
        <v>28</v>
      </c>
      <c r="C6" s="20" t="s">
        <v>8</v>
      </c>
      <c r="D6" s="20" t="s">
        <v>9</v>
      </c>
      <c r="E6" s="18">
        <v>14</v>
      </c>
      <c r="F6" s="22">
        <v>50</v>
      </c>
      <c r="G6" s="18" t="s">
        <v>29</v>
      </c>
      <c r="H6" s="24">
        <f>E6*F6</f>
        <v>700</v>
      </c>
    </row>
    <row r="7" spans="1:10">
      <c r="A7" s="18">
        <v>4044</v>
      </c>
      <c r="B7" s="20" t="s">
        <v>78</v>
      </c>
      <c r="C7" s="20" t="s">
        <v>17</v>
      </c>
      <c r="D7" s="20" t="s">
        <v>9</v>
      </c>
      <c r="E7" s="18">
        <v>14</v>
      </c>
      <c r="F7" s="22">
        <v>50</v>
      </c>
      <c r="G7" s="18" t="s">
        <v>79</v>
      </c>
      <c r="H7" s="24">
        <f>E7*F7</f>
        <v>700</v>
      </c>
    </row>
    <row r="8" spans="1:10">
      <c r="A8" s="18">
        <v>4052</v>
      </c>
      <c r="B8" s="20" t="s">
        <v>10</v>
      </c>
      <c r="C8" s="20" t="s">
        <v>11</v>
      </c>
      <c r="D8" s="20" t="s">
        <v>9</v>
      </c>
      <c r="E8" s="18">
        <v>14</v>
      </c>
      <c r="F8" s="22">
        <v>50</v>
      </c>
      <c r="G8" s="18" t="s">
        <v>93</v>
      </c>
      <c r="H8" s="24">
        <f>E8*F8</f>
        <v>700</v>
      </c>
    </row>
    <row r="9" spans="1:10">
      <c r="A9" s="18">
        <v>4029</v>
      </c>
      <c r="B9" s="20" t="s">
        <v>60</v>
      </c>
      <c r="C9" s="20" t="s">
        <v>8</v>
      </c>
      <c r="D9" s="20" t="s">
        <v>9</v>
      </c>
      <c r="E9" s="18">
        <v>13</v>
      </c>
      <c r="F9" s="22">
        <v>50</v>
      </c>
      <c r="G9" s="18" t="s">
        <v>61</v>
      </c>
      <c r="H9" s="24">
        <f>E9*F9</f>
        <v>650</v>
      </c>
    </row>
    <row r="10" spans="1:10">
      <c r="A10" s="18">
        <v>4006</v>
      </c>
      <c r="B10" s="20" t="s">
        <v>20</v>
      </c>
      <c r="C10" s="20" t="s">
        <v>11</v>
      </c>
      <c r="D10" s="20" t="s">
        <v>9</v>
      </c>
      <c r="E10" s="18">
        <v>12</v>
      </c>
      <c r="F10" s="22">
        <v>50</v>
      </c>
      <c r="G10" s="19">
        <v>45444</v>
      </c>
      <c r="H10" s="24">
        <f>E10*F10</f>
        <v>600</v>
      </c>
    </row>
    <row r="11" spans="1:10">
      <c r="A11" s="18">
        <v>4049</v>
      </c>
      <c r="B11" s="20" t="s">
        <v>88</v>
      </c>
      <c r="C11" s="20" t="s">
        <v>8</v>
      </c>
      <c r="D11" s="20" t="s">
        <v>9</v>
      </c>
      <c r="E11" s="18">
        <v>12</v>
      </c>
      <c r="F11" s="22">
        <v>50</v>
      </c>
      <c r="G11" s="18" t="s">
        <v>89</v>
      </c>
      <c r="H11" s="24">
        <f>E11*F11</f>
        <v>600</v>
      </c>
    </row>
    <row r="12" spans="1:10">
      <c r="A12" s="18">
        <v>4061</v>
      </c>
      <c r="B12" s="20" t="s">
        <v>26</v>
      </c>
      <c r="C12" s="20" t="s">
        <v>14</v>
      </c>
      <c r="D12" s="20" t="s">
        <v>9</v>
      </c>
      <c r="E12" s="18">
        <v>12</v>
      </c>
      <c r="F12" s="22">
        <v>50</v>
      </c>
      <c r="G12" s="19">
        <v>45294</v>
      </c>
      <c r="H12" s="24">
        <f>E12*F12</f>
        <v>600</v>
      </c>
    </row>
  </sheetData>
  <sortState xmlns:xlrd2="http://schemas.microsoft.com/office/spreadsheetml/2017/richdata2" ref="A2:H12">
    <sortCondition descending="1" ref="H1:H12"/>
  </sortState>
  <conditionalFormatting sqref="H1:H1048576">
    <cfRule type="top10" dxfId="4" priority="1" rank="1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AB38-844D-4C38-BA8E-59F5E4D8F740}">
  <dimension ref="A1:M71"/>
  <sheetViews>
    <sheetView tabSelected="1" topLeftCell="A4" workbookViewId="0">
      <selection activeCell="A2" sqref="A2:H71"/>
    </sheetView>
  </sheetViews>
  <sheetFormatPr defaultRowHeight="14.4"/>
  <cols>
    <col min="2" max="2" width="16.33203125" bestFit="1" customWidth="1"/>
    <col min="3" max="3" width="8" bestFit="1" customWidth="1"/>
    <col min="4" max="4" width="9.5546875" bestFit="1" customWidth="1"/>
    <col min="5" max="5" width="9.21875" bestFit="1" customWidth="1"/>
    <col min="6" max="6" width="10.109375" bestFit="1" customWidth="1"/>
    <col min="7" max="7" width="11.33203125" bestFit="1" customWidth="1"/>
    <col min="8" max="8" width="11.88671875" bestFit="1" customWidth="1"/>
    <col min="11" max="11" width="13" customWidth="1"/>
    <col min="12" max="12" width="10.44140625" bestFit="1" customWidth="1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1" t="s">
        <v>5</v>
      </c>
      <c r="G1" s="5" t="s">
        <v>6</v>
      </c>
      <c r="H1" s="21" t="s">
        <v>102</v>
      </c>
    </row>
    <row r="2" spans="1:13">
      <c r="A2" s="18">
        <v>4001</v>
      </c>
      <c r="B2" s="20" t="s">
        <v>7</v>
      </c>
      <c r="C2" s="20" t="s">
        <v>8</v>
      </c>
      <c r="D2" s="20" t="s">
        <v>9</v>
      </c>
      <c r="E2" s="18">
        <v>10</v>
      </c>
      <c r="F2" s="22">
        <v>50</v>
      </c>
      <c r="G2" s="19">
        <v>45292</v>
      </c>
      <c r="H2" s="24">
        <f>E2*F2</f>
        <v>500</v>
      </c>
      <c r="K2" s="28" t="s">
        <v>120</v>
      </c>
      <c r="L2" s="28"/>
      <c r="M2" s="28"/>
    </row>
    <row r="3" spans="1:13">
      <c r="A3" s="18">
        <v>4002</v>
      </c>
      <c r="B3" s="20" t="s">
        <v>10</v>
      </c>
      <c r="C3" s="20" t="s">
        <v>11</v>
      </c>
      <c r="D3" s="20" t="s">
        <v>12</v>
      </c>
      <c r="E3" s="18">
        <v>20</v>
      </c>
      <c r="F3" s="22">
        <v>10</v>
      </c>
      <c r="G3" s="19">
        <v>45323</v>
      </c>
      <c r="H3" s="24">
        <f t="shared" ref="H3:H66" si="0">E3*F3</f>
        <v>200</v>
      </c>
      <c r="K3" t="s">
        <v>102</v>
      </c>
      <c r="L3" s="4">
        <f>SUM(H2:H71)</f>
        <v>23582</v>
      </c>
    </row>
    <row r="4" spans="1:13">
      <c r="A4" s="18">
        <v>4003</v>
      </c>
      <c r="B4" s="20" t="s">
        <v>13</v>
      </c>
      <c r="C4" s="20" t="s">
        <v>14</v>
      </c>
      <c r="D4" s="20" t="s">
        <v>15</v>
      </c>
      <c r="E4" s="18">
        <v>15</v>
      </c>
      <c r="F4" s="22">
        <v>25</v>
      </c>
      <c r="G4" s="19">
        <v>45352</v>
      </c>
      <c r="H4" s="24">
        <f t="shared" si="0"/>
        <v>375</v>
      </c>
      <c r="K4" t="s">
        <v>124</v>
      </c>
      <c r="L4" s="4">
        <f>AVERAGE(H2:H71)</f>
        <v>336.8857142857143</v>
      </c>
    </row>
    <row r="5" spans="1:13">
      <c r="A5" s="18">
        <v>4004</v>
      </c>
      <c r="B5" s="20" t="s">
        <v>16</v>
      </c>
      <c r="C5" s="20" t="s">
        <v>17</v>
      </c>
      <c r="D5" s="20" t="s">
        <v>9</v>
      </c>
      <c r="E5" s="18">
        <v>5</v>
      </c>
      <c r="F5" s="22">
        <v>50</v>
      </c>
      <c r="G5" s="19">
        <v>45383</v>
      </c>
      <c r="H5" s="24">
        <f t="shared" si="0"/>
        <v>250</v>
      </c>
      <c r="K5" t="s">
        <v>121</v>
      </c>
      <c r="L5">
        <f>SUM(E2:E71)</f>
        <v>1430</v>
      </c>
    </row>
    <row r="6" spans="1:13">
      <c r="A6" s="18">
        <v>4005</v>
      </c>
      <c r="B6" s="20" t="s">
        <v>18</v>
      </c>
      <c r="C6" s="20" t="s">
        <v>8</v>
      </c>
      <c r="D6" s="20" t="s">
        <v>19</v>
      </c>
      <c r="E6" s="18">
        <v>30</v>
      </c>
      <c r="F6" s="22">
        <v>5</v>
      </c>
      <c r="G6" s="19">
        <v>45413</v>
      </c>
      <c r="H6" s="24">
        <f t="shared" si="0"/>
        <v>150</v>
      </c>
      <c r="K6" t="s">
        <v>122</v>
      </c>
      <c r="L6" s="4">
        <f>MAX(H2:H71)</f>
        <v>1000</v>
      </c>
    </row>
    <row r="7" spans="1:13">
      <c r="A7" s="18">
        <v>4006</v>
      </c>
      <c r="B7" s="20" t="s">
        <v>20</v>
      </c>
      <c r="C7" s="20" t="s">
        <v>11</v>
      </c>
      <c r="D7" s="20" t="s">
        <v>9</v>
      </c>
      <c r="E7" s="18">
        <v>12</v>
      </c>
      <c r="F7" s="22">
        <v>50</v>
      </c>
      <c r="G7" s="19">
        <v>45444</v>
      </c>
      <c r="H7" s="24">
        <f t="shared" si="0"/>
        <v>600</v>
      </c>
      <c r="K7" t="s">
        <v>123</v>
      </c>
      <c r="L7" s="4">
        <f>MIN(H2:H71)</f>
        <v>90</v>
      </c>
    </row>
    <row r="8" spans="1:13">
      <c r="A8" s="18">
        <v>4007</v>
      </c>
      <c r="B8" s="20" t="s">
        <v>21</v>
      </c>
      <c r="C8" s="20" t="s">
        <v>14</v>
      </c>
      <c r="D8" s="20" t="s">
        <v>22</v>
      </c>
      <c r="E8" s="18">
        <v>25</v>
      </c>
      <c r="F8" s="22">
        <v>8</v>
      </c>
      <c r="G8" s="19">
        <v>45474</v>
      </c>
      <c r="H8" s="24">
        <f t="shared" si="0"/>
        <v>200</v>
      </c>
    </row>
    <row r="9" spans="1:13">
      <c r="A9" s="18">
        <v>4008</v>
      </c>
      <c r="B9" s="20" t="s">
        <v>23</v>
      </c>
      <c r="C9" s="20" t="s">
        <v>17</v>
      </c>
      <c r="D9" s="20" t="s">
        <v>12</v>
      </c>
      <c r="E9" s="18">
        <v>18</v>
      </c>
      <c r="F9" s="22">
        <v>10</v>
      </c>
      <c r="G9" s="19">
        <v>45505</v>
      </c>
      <c r="H9" s="24">
        <f t="shared" si="0"/>
        <v>180</v>
      </c>
    </row>
    <row r="10" spans="1:13">
      <c r="A10" s="18">
        <v>4009</v>
      </c>
      <c r="B10" s="20" t="s">
        <v>24</v>
      </c>
      <c r="C10" s="20" t="s">
        <v>8</v>
      </c>
      <c r="D10" s="20" t="s">
        <v>15</v>
      </c>
      <c r="E10" s="18">
        <v>22</v>
      </c>
      <c r="F10" s="22">
        <v>25</v>
      </c>
      <c r="G10" s="19">
        <v>45536</v>
      </c>
      <c r="H10" s="24">
        <f t="shared" si="0"/>
        <v>550</v>
      </c>
    </row>
    <row r="11" spans="1:13">
      <c r="A11" s="18">
        <v>4010</v>
      </c>
      <c r="B11" s="20" t="s">
        <v>25</v>
      </c>
      <c r="C11" s="20" t="s">
        <v>11</v>
      </c>
      <c r="D11" s="20" t="s">
        <v>9</v>
      </c>
      <c r="E11" s="18">
        <v>8</v>
      </c>
      <c r="F11" s="22">
        <v>50</v>
      </c>
      <c r="G11" s="19">
        <v>45566</v>
      </c>
      <c r="H11" s="24">
        <f t="shared" si="0"/>
        <v>400</v>
      </c>
    </row>
    <row r="12" spans="1:13">
      <c r="A12" s="18">
        <v>4011</v>
      </c>
      <c r="B12" s="20" t="s">
        <v>26</v>
      </c>
      <c r="C12" s="20" t="s">
        <v>14</v>
      </c>
      <c r="D12" s="20" t="s">
        <v>19</v>
      </c>
      <c r="E12" s="18">
        <v>40</v>
      </c>
      <c r="F12" s="22">
        <v>5</v>
      </c>
      <c r="G12" s="19">
        <v>45597</v>
      </c>
      <c r="H12" s="24">
        <f t="shared" si="0"/>
        <v>200</v>
      </c>
    </row>
    <row r="13" spans="1:13">
      <c r="A13" s="18">
        <v>4012</v>
      </c>
      <c r="B13" s="20" t="s">
        <v>27</v>
      </c>
      <c r="C13" s="20" t="s">
        <v>17</v>
      </c>
      <c r="D13" s="20" t="s">
        <v>22</v>
      </c>
      <c r="E13" s="18">
        <v>35</v>
      </c>
      <c r="F13" s="22">
        <v>8</v>
      </c>
      <c r="G13" s="19">
        <v>45627</v>
      </c>
      <c r="H13" s="24">
        <f t="shared" si="0"/>
        <v>280</v>
      </c>
    </row>
    <row r="14" spans="1:13">
      <c r="A14" s="18">
        <v>4013</v>
      </c>
      <c r="B14" s="20" t="s">
        <v>28</v>
      </c>
      <c r="C14" s="20" t="s">
        <v>8</v>
      </c>
      <c r="D14" s="20" t="s">
        <v>9</v>
      </c>
      <c r="E14" s="18">
        <v>14</v>
      </c>
      <c r="F14" s="22">
        <v>50</v>
      </c>
      <c r="G14" s="18" t="s">
        <v>29</v>
      </c>
      <c r="H14" s="24">
        <f t="shared" si="0"/>
        <v>700</v>
      </c>
    </row>
    <row r="15" spans="1:13">
      <c r="A15" s="18">
        <v>4014</v>
      </c>
      <c r="B15" s="20" t="s">
        <v>30</v>
      </c>
      <c r="C15" s="20" t="s">
        <v>11</v>
      </c>
      <c r="D15" s="20" t="s">
        <v>12</v>
      </c>
      <c r="E15" s="18">
        <v>28</v>
      </c>
      <c r="F15" s="22">
        <v>10</v>
      </c>
      <c r="G15" s="18" t="s">
        <v>31</v>
      </c>
      <c r="H15" s="24">
        <f t="shared" si="0"/>
        <v>280</v>
      </c>
    </row>
    <row r="16" spans="1:13">
      <c r="A16" s="18">
        <v>4015</v>
      </c>
      <c r="B16" s="20" t="s">
        <v>32</v>
      </c>
      <c r="C16" s="20" t="s">
        <v>14</v>
      </c>
      <c r="D16" s="20" t="s">
        <v>15</v>
      </c>
      <c r="E16" s="18">
        <v>12</v>
      </c>
      <c r="F16" s="22">
        <v>25</v>
      </c>
      <c r="G16" s="18" t="s">
        <v>33</v>
      </c>
      <c r="H16" s="24">
        <f t="shared" si="0"/>
        <v>300</v>
      </c>
    </row>
    <row r="17" spans="1:8">
      <c r="A17" s="18">
        <v>4016</v>
      </c>
      <c r="B17" s="20" t="s">
        <v>34</v>
      </c>
      <c r="C17" s="20" t="s">
        <v>17</v>
      </c>
      <c r="D17" s="20" t="s">
        <v>19</v>
      </c>
      <c r="E17" s="18">
        <v>25</v>
      </c>
      <c r="F17" s="22">
        <v>5</v>
      </c>
      <c r="G17" s="18" t="s">
        <v>35</v>
      </c>
      <c r="H17" s="24">
        <f t="shared" si="0"/>
        <v>125</v>
      </c>
    </row>
    <row r="18" spans="1:8">
      <c r="A18" s="18">
        <v>4017</v>
      </c>
      <c r="B18" s="20" t="s">
        <v>36</v>
      </c>
      <c r="C18" s="20" t="s">
        <v>8</v>
      </c>
      <c r="D18" s="20" t="s">
        <v>22</v>
      </c>
      <c r="E18" s="18">
        <v>20</v>
      </c>
      <c r="F18" s="22">
        <v>8</v>
      </c>
      <c r="G18" s="18" t="s">
        <v>37</v>
      </c>
      <c r="H18" s="24">
        <f t="shared" si="0"/>
        <v>160</v>
      </c>
    </row>
    <row r="19" spans="1:8">
      <c r="A19" s="18">
        <v>4018</v>
      </c>
      <c r="B19" s="20" t="s">
        <v>38</v>
      </c>
      <c r="C19" s="20" t="s">
        <v>11</v>
      </c>
      <c r="D19" s="20" t="s">
        <v>9</v>
      </c>
      <c r="E19" s="18">
        <v>10</v>
      </c>
      <c r="F19" s="22">
        <v>50</v>
      </c>
      <c r="G19" s="18" t="s">
        <v>39</v>
      </c>
      <c r="H19" s="24">
        <f t="shared" si="0"/>
        <v>500</v>
      </c>
    </row>
    <row r="20" spans="1:8">
      <c r="A20" s="18">
        <v>4019</v>
      </c>
      <c r="B20" s="20" t="s">
        <v>40</v>
      </c>
      <c r="C20" s="20" t="s">
        <v>14</v>
      </c>
      <c r="D20" s="20" t="s">
        <v>12</v>
      </c>
      <c r="E20" s="18">
        <v>15</v>
      </c>
      <c r="F20" s="22">
        <v>10</v>
      </c>
      <c r="G20" s="18" t="s">
        <v>41</v>
      </c>
      <c r="H20" s="24">
        <f t="shared" si="0"/>
        <v>150</v>
      </c>
    </row>
    <row r="21" spans="1:8">
      <c r="A21" s="18">
        <v>4020</v>
      </c>
      <c r="B21" s="20" t="s">
        <v>42</v>
      </c>
      <c r="C21" s="20" t="s">
        <v>17</v>
      </c>
      <c r="D21" s="20" t="s">
        <v>15</v>
      </c>
      <c r="E21" s="18">
        <v>18</v>
      </c>
      <c r="F21" s="22">
        <v>25</v>
      </c>
      <c r="G21" s="18" t="s">
        <v>43</v>
      </c>
      <c r="H21" s="24">
        <f t="shared" si="0"/>
        <v>450</v>
      </c>
    </row>
    <row r="22" spans="1:8">
      <c r="A22" s="18">
        <v>4021</v>
      </c>
      <c r="B22" s="20" t="s">
        <v>44</v>
      </c>
      <c r="C22" s="20" t="s">
        <v>8</v>
      </c>
      <c r="D22" s="20" t="s">
        <v>9</v>
      </c>
      <c r="E22" s="18">
        <v>9</v>
      </c>
      <c r="F22" s="22">
        <v>50</v>
      </c>
      <c r="G22" s="18" t="s">
        <v>45</v>
      </c>
      <c r="H22" s="24">
        <f t="shared" si="0"/>
        <v>450</v>
      </c>
    </row>
    <row r="23" spans="1:8">
      <c r="A23" s="18">
        <v>4022</v>
      </c>
      <c r="B23" s="20" t="s">
        <v>46</v>
      </c>
      <c r="C23" s="20" t="s">
        <v>11</v>
      </c>
      <c r="D23" s="20" t="s">
        <v>19</v>
      </c>
      <c r="E23" s="18">
        <v>35</v>
      </c>
      <c r="F23" s="22">
        <v>5</v>
      </c>
      <c r="G23" s="18" t="s">
        <v>47</v>
      </c>
      <c r="H23" s="24">
        <f t="shared" si="0"/>
        <v>175</v>
      </c>
    </row>
    <row r="24" spans="1:8">
      <c r="A24" s="18">
        <v>4023</v>
      </c>
      <c r="B24" s="20" t="s">
        <v>48</v>
      </c>
      <c r="C24" s="20" t="s">
        <v>14</v>
      </c>
      <c r="D24" s="20" t="s">
        <v>22</v>
      </c>
      <c r="E24" s="18">
        <v>30</v>
      </c>
      <c r="F24" s="22">
        <v>8</v>
      </c>
      <c r="G24" s="18" t="s">
        <v>49</v>
      </c>
      <c r="H24" s="24">
        <f t="shared" si="0"/>
        <v>240</v>
      </c>
    </row>
    <row r="25" spans="1:8">
      <c r="A25" s="18">
        <v>4024</v>
      </c>
      <c r="B25" s="20" t="s">
        <v>50</v>
      </c>
      <c r="C25" s="20" t="s">
        <v>17</v>
      </c>
      <c r="D25" s="20" t="s">
        <v>9</v>
      </c>
      <c r="E25" s="18">
        <v>11</v>
      </c>
      <c r="F25" s="22">
        <v>50</v>
      </c>
      <c r="G25" s="18" t="s">
        <v>51</v>
      </c>
      <c r="H25" s="24">
        <f t="shared" si="0"/>
        <v>550</v>
      </c>
    </row>
    <row r="26" spans="1:8">
      <c r="A26" s="18">
        <v>4025</v>
      </c>
      <c r="B26" s="20" t="s">
        <v>52</v>
      </c>
      <c r="C26" s="20" t="s">
        <v>8</v>
      </c>
      <c r="D26" s="20" t="s">
        <v>12</v>
      </c>
      <c r="E26" s="18">
        <v>14</v>
      </c>
      <c r="F26" s="22">
        <v>10</v>
      </c>
      <c r="G26" s="18" t="s">
        <v>53</v>
      </c>
      <c r="H26" s="24">
        <f t="shared" si="0"/>
        <v>140</v>
      </c>
    </row>
    <row r="27" spans="1:8">
      <c r="A27" s="18">
        <v>4026</v>
      </c>
      <c r="B27" s="20" t="s">
        <v>54</v>
      </c>
      <c r="C27" s="20" t="s">
        <v>11</v>
      </c>
      <c r="D27" s="20" t="s">
        <v>15</v>
      </c>
      <c r="E27" s="18">
        <v>16</v>
      </c>
      <c r="F27" s="22">
        <v>25</v>
      </c>
      <c r="G27" s="18" t="s">
        <v>55</v>
      </c>
      <c r="H27" s="24">
        <f t="shared" si="0"/>
        <v>400</v>
      </c>
    </row>
    <row r="28" spans="1:8">
      <c r="A28" s="18">
        <v>4027</v>
      </c>
      <c r="B28" s="20" t="s">
        <v>56</v>
      </c>
      <c r="C28" s="20" t="s">
        <v>14</v>
      </c>
      <c r="D28" s="20" t="s">
        <v>19</v>
      </c>
      <c r="E28" s="18">
        <v>22</v>
      </c>
      <c r="F28" s="22">
        <v>5</v>
      </c>
      <c r="G28" s="18" t="s">
        <v>57</v>
      </c>
      <c r="H28" s="24">
        <f t="shared" si="0"/>
        <v>110</v>
      </c>
    </row>
    <row r="29" spans="1:8">
      <c r="A29" s="18">
        <v>4028</v>
      </c>
      <c r="B29" s="20" t="s">
        <v>58</v>
      </c>
      <c r="C29" s="20" t="s">
        <v>17</v>
      </c>
      <c r="D29" s="20" t="s">
        <v>22</v>
      </c>
      <c r="E29" s="18">
        <v>27</v>
      </c>
      <c r="F29" s="22">
        <v>8</v>
      </c>
      <c r="G29" s="18" t="s">
        <v>59</v>
      </c>
      <c r="H29" s="24">
        <f t="shared" si="0"/>
        <v>216</v>
      </c>
    </row>
    <row r="30" spans="1:8">
      <c r="A30" s="18">
        <v>4029</v>
      </c>
      <c r="B30" s="20" t="s">
        <v>60</v>
      </c>
      <c r="C30" s="20" t="s">
        <v>8</v>
      </c>
      <c r="D30" s="20" t="s">
        <v>9</v>
      </c>
      <c r="E30" s="18">
        <v>13</v>
      </c>
      <c r="F30" s="22">
        <v>50</v>
      </c>
      <c r="G30" s="18" t="s">
        <v>61</v>
      </c>
      <c r="H30" s="24">
        <f t="shared" si="0"/>
        <v>650</v>
      </c>
    </row>
    <row r="31" spans="1:8">
      <c r="A31" s="18">
        <v>4030</v>
      </c>
      <c r="B31" s="20" t="s">
        <v>62</v>
      </c>
      <c r="C31" s="20" t="s">
        <v>11</v>
      </c>
      <c r="D31" s="20" t="s">
        <v>12</v>
      </c>
      <c r="E31" s="18">
        <v>32</v>
      </c>
      <c r="F31" s="22">
        <v>10</v>
      </c>
      <c r="G31" s="18" t="s">
        <v>63</v>
      </c>
      <c r="H31" s="24">
        <f t="shared" si="0"/>
        <v>320</v>
      </c>
    </row>
    <row r="32" spans="1:8">
      <c r="A32" s="18">
        <v>4031</v>
      </c>
      <c r="B32" s="20" t="s">
        <v>64</v>
      </c>
      <c r="C32" s="20" t="s">
        <v>14</v>
      </c>
      <c r="D32" s="20" t="s">
        <v>15</v>
      </c>
      <c r="E32" s="18">
        <v>10</v>
      </c>
      <c r="F32" s="22">
        <v>25</v>
      </c>
      <c r="G32" s="18" t="s">
        <v>65</v>
      </c>
      <c r="H32" s="24">
        <f t="shared" si="0"/>
        <v>250</v>
      </c>
    </row>
    <row r="33" spans="1:8">
      <c r="A33" s="18">
        <v>4032</v>
      </c>
      <c r="B33" s="20" t="s">
        <v>66</v>
      </c>
      <c r="C33" s="20" t="s">
        <v>17</v>
      </c>
      <c r="D33" s="20" t="s">
        <v>19</v>
      </c>
      <c r="E33" s="18">
        <v>18</v>
      </c>
      <c r="F33" s="22">
        <v>5</v>
      </c>
      <c r="G33" s="19">
        <v>45293</v>
      </c>
      <c r="H33" s="24">
        <f t="shared" si="0"/>
        <v>90</v>
      </c>
    </row>
    <row r="34" spans="1:8">
      <c r="A34" s="18">
        <v>4033</v>
      </c>
      <c r="B34" s="20" t="s">
        <v>67</v>
      </c>
      <c r="C34" s="20" t="s">
        <v>8</v>
      </c>
      <c r="D34" s="20" t="s">
        <v>22</v>
      </c>
      <c r="E34" s="18">
        <v>22</v>
      </c>
      <c r="F34" s="22">
        <v>8</v>
      </c>
      <c r="G34" s="19">
        <v>45324</v>
      </c>
      <c r="H34" s="24">
        <f t="shared" si="0"/>
        <v>176</v>
      </c>
    </row>
    <row r="35" spans="1:8">
      <c r="A35" s="18">
        <v>4034</v>
      </c>
      <c r="B35" s="20" t="s">
        <v>68</v>
      </c>
      <c r="C35" s="20" t="s">
        <v>11</v>
      </c>
      <c r="D35" s="20" t="s">
        <v>9</v>
      </c>
      <c r="E35" s="18">
        <v>17</v>
      </c>
      <c r="F35" s="22">
        <v>50</v>
      </c>
      <c r="G35" s="19">
        <v>45353</v>
      </c>
      <c r="H35" s="24">
        <f t="shared" si="0"/>
        <v>850</v>
      </c>
    </row>
    <row r="36" spans="1:8">
      <c r="A36" s="18">
        <v>4035</v>
      </c>
      <c r="B36" s="20" t="s">
        <v>69</v>
      </c>
      <c r="C36" s="20" t="s">
        <v>14</v>
      </c>
      <c r="D36" s="20" t="s">
        <v>12</v>
      </c>
      <c r="E36" s="18">
        <v>19</v>
      </c>
      <c r="F36" s="22">
        <v>10</v>
      </c>
      <c r="G36" s="19">
        <v>45384</v>
      </c>
      <c r="H36" s="24">
        <f t="shared" si="0"/>
        <v>190</v>
      </c>
    </row>
    <row r="37" spans="1:8">
      <c r="A37" s="18">
        <v>4036</v>
      </c>
      <c r="B37" s="20" t="s">
        <v>70</v>
      </c>
      <c r="C37" s="20" t="s">
        <v>17</v>
      </c>
      <c r="D37" s="20" t="s">
        <v>15</v>
      </c>
      <c r="E37" s="18">
        <v>15</v>
      </c>
      <c r="F37" s="22">
        <v>25</v>
      </c>
      <c r="G37" s="19">
        <v>45414</v>
      </c>
      <c r="H37" s="24">
        <f t="shared" si="0"/>
        <v>375</v>
      </c>
    </row>
    <row r="38" spans="1:8">
      <c r="A38" s="18">
        <v>4037</v>
      </c>
      <c r="B38" s="20" t="s">
        <v>71</v>
      </c>
      <c r="C38" s="20" t="s">
        <v>8</v>
      </c>
      <c r="D38" s="20" t="s">
        <v>19</v>
      </c>
      <c r="E38" s="18">
        <v>28</v>
      </c>
      <c r="F38" s="22">
        <v>5</v>
      </c>
      <c r="G38" s="19">
        <v>45445</v>
      </c>
      <c r="H38" s="24">
        <f t="shared" si="0"/>
        <v>140</v>
      </c>
    </row>
    <row r="39" spans="1:8">
      <c r="A39" s="18">
        <v>4038</v>
      </c>
      <c r="B39" s="20" t="s">
        <v>72</v>
      </c>
      <c r="C39" s="20" t="s">
        <v>11</v>
      </c>
      <c r="D39" s="20" t="s">
        <v>22</v>
      </c>
      <c r="E39" s="18">
        <v>24</v>
      </c>
      <c r="F39" s="22">
        <v>8</v>
      </c>
      <c r="G39" s="19">
        <v>45475</v>
      </c>
      <c r="H39" s="24">
        <f t="shared" si="0"/>
        <v>192</v>
      </c>
    </row>
    <row r="40" spans="1:8">
      <c r="A40" s="18">
        <v>4039</v>
      </c>
      <c r="B40" s="20" t="s">
        <v>73</v>
      </c>
      <c r="C40" s="20" t="s">
        <v>14</v>
      </c>
      <c r="D40" s="20" t="s">
        <v>9</v>
      </c>
      <c r="E40" s="18">
        <v>16</v>
      </c>
      <c r="F40" s="22">
        <v>50</v>
      </c>
      <c r="G40" s="19">
        <v>45506</v>
      </c>
      <c r="H40" s="24">
        <f t="shared" si="0"/>
        <v>800</v>
      </c>
    </row>
    <row r="41" spans="1:8">
      <c r="A41" s="18">
        <v>4040</v>
      </c>
      <c r="B41" s="20" t="s">
        <v>74</v>
      </c>
      <c r="C41" s="20" t="s">
        <v>17</v>
      </c>
      <c r="D41" s="20" t="s">
        <v>12</v>
      </c>
      <c r="E41" s="18">
        <v>27</v>
      </c>
      <c r="F41" s="22">
        <v>10</v>
      </c>
      <c r="G41" s="19">
        <v>45537</v>
      </c>
      <c r="H41" s="24">
        <f t="shared" si="0"/>
        <v>270</v>
      </c>
    </row>
    <row r="42" spans="1:8">
      <c r="A42" s="18">
        <v>4041</v>
      </c>
      <c r="B42" s="20" t="s">
        <v>75</v>
      </c>
      <c r="C42" s="20" t="s">
        <v>8</v>
      </c>
      <c r="D42" s="20" t="s">
        <v>15</v>
      </c>
      <c r="E42" s="18">
        <v>21</v>
      </c>
      <c r="F42" s="22">
        <v>25</v>
      </c>
      <c r="G42" s="19">
        <v>45567</v>
      </c>
      <c r="H42" s="24">
        <f t="shared" si="0"/>
        <v>525</v>
      </c>
    </row>
    <row r="43" spans="1:8">
      <c r="A43" s="18">
        <v>4042</v>
      </c>
      <c r="B43" s="20" t="s">
        <v>76</v>
      </c>
      <c r="C43" s="20" t="s">
        <v>11</v>
      </c>
      <c r="D43" s="20" t="s">
        <v>19</v>
      </c>
      <c r="E43" s="18">
        <v>30</v>
      </c>
      <c r="F43" s="22">
        <v>5</v>
      </c>
      <c r="G43" s="19">
        <v>45598</v>
      </c>
      <c r="H43" s="24">
        <f t="shared" si="0"/>
        <v>150</v>
      </c>
    </row>
    <row r="44" spans="1:8">
      <c r="A44" s="18">
        <v>4043</v>
      </c>
      <c r="B44" s="20" t="s">
        <v>77</v>
      </c>
      <c r="C44" s="20" t="s">
        <v>14</v>
      </c>
      <c r="D44" s="20" t="s">
        <v>22</v>
      </c>
      <c r="E44" s="18">
        <v>26</v>
      </c>
      <c r="F44" s="22">
        <v>8</v>
      </c>
      <c r="G44" s="19">
        <v>45628</v>
      </c>
      <c r="H44" s="24">
        <f t="shared" si="0"/>
        <v>208</v>
      </c>
    </row>
    <row r="45" spans="1:8">
      <c r="A45" s="18">
        <v>4044</v>
      </c>
      <c r="B45" s="20" t="s">
        <v>78</v>
      </c>
      <c r="C45" s="20" t="s">
        <v>17</v>
      </c>
      <c r="D45" s="20" t="s">
        <v>9</v>
      </c>
      <c r="E45" s="18">
        <v>14</v>
      </c>
      <c r="F45" s="22">
        <v>50</v>
      </c>
      <c r="G45" s="18" t="s">
        <v>79</v>
      </c>
      <c r="H45" s="24">
        <f t="shared" si="0"/>
        <v>700</v>
      </c>
    </row>
    <row r="46" spans="1:8">
      <c r="A46" s="18">
        <v>4045</v>
      </c>
      <c r="B46" s="20" t="s">
        <v>80</v>
      </c>
      <c r="C46" s="20" t="s">
        <v>8</v>
      </c>
      <c r="D46" s="20" t="s">
        <v>12</v>
      </c>
      <c r="E46" s="18">
        <v>20</v>
      </c>
      <c r="F46" s="22">
        <v>10</v>
      </c>
      <c r="G46" s="18" t="s">
        <v>81</v>
      </c>
      <c r="H46" s="24">
        <f t="shared" si="0"/>
        <v>200</v>
      </c>
    </row>
    <row r="47" spans="1:8">
      <c r="A47" s="18">
        <v>4046</v>
      </c>
      <c r="B47" s="20" t="s">
        <v>82</v>
      </c>
      <c r="C47" s="20" t="s">
        <v>11</v>
      </c>
      <c r="D47" s="20" t="s">
        <v>15</v>
      </c>
      <c r="E47" s="18">
        <v>17</v>
      </c>
      <c r="F47" s="22">
        <v>25</v>
      </c>
      <c r="G47" s="18" t="s">
        <v>83</v>
      </c>
      <c r="H47" s="24">
        <f t="shared" si="0"/>
        <v>425</v>
      </c>
    </row>
    <row r="48" spans="1:8">
      <c r="A48" s="18">
        <v>4047</v>
      </c>
      <c r="B48" s="20" t="s">
        <v>84</v>
      </c>
      <c r="C48" s="20" t="s">
        <v>14</v>
      </c>
      <c r="D48" s="20" t="s">
        <v>19</v>
      </c>
      <c r="E48" s="18">
        <v>19</v>
      </c>
      <c r="F48" s="22">
        <v>5</v>
      </c>
      <c r="G48" s="18" t="s">
        <v>85</v>
      </c>
      <c r="H48" s="24">
        <f t="shared" si="0"/>
        <v>95</v>
      </c>
    </row>
    <row r="49" spans="1:8">
      <c r="A49" s="18">
        <v>4048</v>
      </c>
      <c r="B49" s="20" t="s">
        <v>86</v>
      </c>
      <c r="C49" s="20" t="s">
        <v>17</v>
      </c>
      <c r="D49" s="20" t="s">
        <v>22</v>
      </c>
      <c r="E49" s="18">
        <v>32</v>
      </c>
      <c r="F49" s="22">
        <v>8</v>
      </c>
      <c r="G49" s="18" t="s">
        <v>87</v>
      </c>
      <c r="H49" s="24">
        <f t="shared" si="0"/>
        <v>256</v>
      </c>
    </row>
    <row r="50" spans="1:8">
      <c r="A50" s="18">
        <v>4049</v>
      </c>
      <c r="B50" s="20" t="s">
        <v>88</v>
      </c>
      <c r="C50" s="20" t="s">
        <v>8</v>
      </c>
      <c r="D50" s="20" t="s">
        <v>9</v>
      </c>
      <c r="E50" s="18">
        <v>12</v>
      </c>
      <c r="F50" s="22">
        <v>50</v>
      </c>
      <c r="G50" s="18" t="s">
        <v>89</v>
      </c>
      <c r="H50" s="24">
        <f t="shared" si="0"/>
        <v>600</v>
      </c>
    </row>
    <row r="51" spans="1:8">
      <c r="A51" s="18">
        <v>4050</v>
      </c>
      <c r="B51" s="20" t="s">
        <v>90</v>
      </c>
      <c r="C51" s="20" t="s">
        <v>11</v>
      </c>
      <c r="D51" s="20" t="s">
        <v>12</v>
      </c>
      <c r="E51" s="18">
        <v>25</v>
      </c>
      <c r="F51" s="22">
        <v>10</v>
      </c>
      <c r="G51" s="18" t="s">
        <v>91</v>
      </c>
      <c r="H51" s="24">
        <f t="shared" si="0"/>
        <v>250</v>
      </c>
    </row>
    <row r="52" spans="1:8">
      <c r="A52" s="18">
        <v>4051</v>
      </c>
      <c r="B52" s="20" t="s">
        <v>7</v>
      </c>
      <c r="C52" s="20" t="s">
        <v>8</v>
      </c>
      <c r="D52" s="20" t="s">
        <v>15</v>
      </c>
      <c r="E52" s="18">
        <v>18</v>
      </c>
      <c r="F52" s="22">
        <v>25</v>
      </c>
      <c r="G52" s="18" t="s">
        <v>92</v>
      </c>
      <c r="H52" s="24">
        <f t="shared" si="0"/>
        <v>450</v>
      </c>
    </row>
    <row r="53" spans="1:8">
      <c r="A53" s="18">
        <v>4052</v>
      </c>
      <c r="B53" s="20" t="s">
        <v>10</v>
      </c>
      <c r="C53" s="20" t="s">
        <v>11</v>
      </c>
      <c r="D53" s="20" t="s">
        <v>9</v>
      </c>
      <c r="E53" s="18">
        <v>14</v>
      </c>
      <c r="F53" s="22">
        <v>50</v>
      </c>
      <c r="G53" s="18" t="s">
        <v>93</v>
      </c>
      <c r="H53" s="24">
        <f t="shared" si="0"/>
        <v>700</v>
      </c>
    </row>
    <row r="54" spans="1:8">
      <c r="A54" s="18">
        <v>4053</v>
      </c>
      <c r="B54" s="20" t="s">
        <v>13</v>
      </c>
      <c r="C54" s="20" t="s">
        <v>14</v>
      </c>
      <c r="D54" s="20" t="s">
        <v>12</v>
      </c>
      <c r="E54" s="18">
        <v>22</v>
      </c>
      <c r="F54" s="22">
        <v>10</v>
      </c>
      <c r="G54" s="18" t="s">
        <v>94</v>
      </c>
      <c r="H54" s="24">
        <f t="shared" si="0"/>
        <v>220</v>
      </c>
    </row>
    <row r="55" spans="1:8">
      <c r="A55" s="18">
        <v>4054</v>
      </c>
      <c r="B55" s="20" t="s">
        <v>16</v>
      </c>
      <c r="C55" s="20" t="s">
        <v>17</v>
      </c>
      <c r="D55" s="20" t="s">
        <v>19</v>
      </c>
      <c r="E55" s="18">
        <v>26</v>
      </c>
      <c r="F55" s="22">
        <v>5</v>
      </c>
      <c r="G55" s="18" t="s">
        <v>95</v>
      </c>
      <c r="H55" s="24">
        <f t="shared" si="0"/>
        <v>130</v>
      </c>
    </row>
    <row r="56" spans="1:8">
      <c r="A56" s="18">
        <v>4055</v>
      </c>
      <c r="B56" s="20" t="s">
        <v>18</v>
      </c>
      <c r="C56" s="20" t="s">
        <v>8</v>
      </c>
      <c r="D56" s="20" t="s">
        <v>22</v>
      </c>
      <c r="E56" s="18">
        <v>28</v>
      </c>
      <c r="F56" s="22">
        <v>8</v>
      </c>
      <c r="G56" s="18" t="s">
        <v>96</v>
      </c>
      <c r="H56" s="24">
        <f t="shared" si="0"/>
        <v>224</v>
      </c>
    </row>
    <row r="57" spans="1:8">
      <c r="A57" s="18">
        <v>4056</v>
      </c>
      <c r="B57" s="20" t="s">
        <v>20</v>
      </c>
      <c r="C57" s="20" t="s">
        <v>11</v>
      </c>
      <c r="D57" s="20" t="s">
        <v>15</v>
      </c>
      <c r="E57" s="18">
        <v>16</v>
      </c>
      <c r="F57" s="22">
        <v>25</v>
      </c>
      <c r="G57" s="18" t="s">
        <v>97</v>
      </c>
      <c r="H57" s="24">
        <f t="shared" si="0"/>
        <v>400</v>
      </c>
    </row>
    <row r="58" spans="1:8">
      <c r="A58" s="18">
        <v>4057</v>
      </c>
      <c r="B58" s="20" t="s">
        <v>21</v>
      </c>
      <c r="C58" s="20" t="s">
        <v>14</v>
      </c>
      <c r="D58" s="20" t="s">
        <v>9</v>
      </c>
      <c r="E58" s="18">
        <v>20</v>
      </c>
      <c r="F58" s="22">
        <v>50</v>
      </c>
      <c r="G58" s="18" t="s">
        <v>98</v>
      </c>
      <c r="H58" s="24">
        <f t="shared" si="0"/>
        <v>1000</v>
      </c>
    </row>
    <row r="59" spans="1:8">
      <c r="A59" s="18">
        <v>4058</v>
      </c>
      <c r="B59" s="20" t="s">
        <v>23</v>
      </c>
      <c r="C59" s="20" t="s">
        <v>17</v>
      </c>
      <c r="D59" s="20" t="s">
        <v>12</v>
      </c>
      <c r="E59" s="18">
        <v>18</v>
      </c>
      <c r="F59" s="22">
        <v>10</v>
      </c>
      <c r="G59" s="18" t="s">
        <v>99</v>
      </c>
      <c r="H59" s="24">
        <f t="shared" si="0"/>
        <v>180</v>
      </c>
    </row>
    <row r="60" spans="1:8">
      <c r="A60" s="18">
        <v>4059</v>
      </c>
      <c r="B60" s="20" t="s">
        <v>24</v>
      </c>
      <c r="C60" s="20" t="s">
        <v>8</v>
      </c>
      <c r="D60" s="20" t="s">
        <v>19</v>
      </c>
      <c r="E60" s="18">
        <v>24</v>
      </c>
      <c r="F60" s="22">
        <v>5</v>
      </c>
      <c r="G60" s="18" t="s">
        <v>100</v>
      </c>
      <c r="H60" s="24">
        <f t="shared" si="0"/>
        <v>120</v>
      </c>
    </row>
    <row r="61" spans="1:8">
      <c r="A61" s="18">
        <v>4060</v>
      </c>
      <c r="B61" s="20" t="s">
        <v>25</v>
      </c>
      <c r="C61" s="20" t="s">
        <v>11</v>
      </c>
      <c r="D61" s="20" t="s">
        <v>22</v>
      </c>
      <c r="E61" s="18">
        <v>30</v>
      </c>
      <c r="F61" s="22">
        <v>8</v>
      </c>
      <c r="G61" s="18" t="s">
        <v>101</v>
      </c>
      <c r="H61" s="24">
        <f t="shared" si="0"/>
        <v>240</v>
      </c>
    </row>
    <row r="62" spans="1:8">
      <c r="A62" s="18">
        <v>4061</v>
      </c>
      <c r="B62" s="20" t="s">
        <v>26</v>
      </c>
      <c r="C62" s="20" t="s">
        <v>14</v>
      </c>
      <c r="D62" s="20" t="s">
        <v>9</v>
      </c>
      <c r="E62" s="18">
        <v>12</v>
      </c>
      <c r="F62" s="22">
        <v>50</v>
      </c>
      <c r="G62" s="19">
        <v>45294</v>
      </c>
      <c r="H62" s="24">
        <f t="shared" si="0"/>
        <v>600</v>
      </c>
    </row>
    <row r="63" spans="1:8">
      <c r="A63" s="18">
        <v>4062</v>
      </c>
      <c r="B63" s="20" t="s">
        <v>27</v>
      </c>
      <c r="C63" s="20" t="s">
        <v>17</v>
      </c>
      <c r="D63" s="20" t="s">
        <v>15</v>
      </c>
      <c r="E63" s="18">
        <v>15</v>
      </c>
      <c r="F63" s="22">
        <v>25</v>
      </c>
      <c r="G63" s="19">
        <v>45325</v>
      </c>
      <c r="H63" s="24">
        <f t="shared" si="0"/>
        <v>375</v>
      </c>
    </row>
    <row r="64" spans="1:8">
      <c r="A64" s="18">
        <v>4063</v>
      </c>
      <c r="B64" s="20" t="s">
        <v>28</v>
      </c>
      <c r="C64" s="20" t="s">
        <v>8</v>
      </c>
      <c r="D64" s="20" t="s">
        <v>12</v>
      </c>
      <c r="E64" s="18">
        <v>20</v>
      </c>
      <c r="F64" s="22">
        <v>10</v>
      </c>
      <c r="G64" s="19">
        <v>45354</v>
      </c>
      <c r="H64" s="24">
        <f t="shared" si="0"/>
        <v>200</v>
      </c>
    </row>
    <row r="65" spans="1:8">
      <c r="A65" s="18">
        <v>4064</v>
      </c>
      <c r="B65" s="20" t="s">
        <v>30</v>
      </c>
      <c r="C65" s="20" t="s">
        <v>11</v>
      </c>
      <c r="D65" s="20" t="s">
        <v>19</v>
      </c>
      <c r="E65" s="18">
        <v>22</v>
      </c>
      <c r="F65" s="22">
        <v>5</v>
      </c>
      <c r="G65" s="19">
        <v>45385</v>
      </c>
      <c r="H65" s="24">
        <f t="shared" si="0"/>
        <v>110</v>
      </c>
    </row>
    <row r="66" spans="1:8">
      <c r="A66" s="18">
        <v>4065</v>
      </c>
      <c r="B66" s="20" t="s">
        <v>32</v>
      </c>
      <c r="C66" s="20" t="s">
        <v>14</v>
      </c>
      <c r="D66" s="20" t="s">
        <v>22</v>
      </c>
      <c r="E66" s="18">
        <v>26</v>
      </c>
      <c r="F66" s="22">
        <v>8</v>
      </c>
      <c r="G66" s="19">
        <v>45415</v>
      </c>
      <c r="H66" s="24">
        <f t="shared" si="0"/>
        <v>208</v>
      </c>
    </row>
    <row r="67" spans="1:8">
      <c r="A67" s="18">
        <v>4066</v>
      </c>
      <c r="B67" s="20" t="s">
        <v>34</v>
      </c>
      <c r="C67" s="20" t="s">
        <v>17</v>
      </c>
      <c r="D67" s="20" t="s">
        <v>9</v>
      </c>
      <c r="E67" s="18">
        <v>18</v>
      </c>
      <c r="F67" s="22">
        <v>50</v>
      </c>
      <c r="G67" s="19">
        <v>45446</v>
      </c>
      <c r="H67" s="24">
        <f t="shared" ref="H67:H71" si="1">E67*F67</f>
        <v>900</v>
      </c>
    </row>
    <row r="68" spans="1:8">
      <c r="A68" s="18">
        <v>4067</v>
      </c>
      <c r="B68" s="20" t="s">
        <v>36</v>
      </c>
      <c r="C68" s="20" t="s">
        <v>8</v>
      </c>
      <c r="D68" s="20" t="s">
        <v>15</v>
      </c>
      <c r="E68" s="18">
        <v>14</v>
      </c>
      <c r="F68" s="22">
        <v>25</v>
      </c>
      <c r="G68" s="19">
        <v>45476</v>
      </c>
      <c r="H68" s="24">
        <f t="shared" si="1"/>
        <v>350</v>
      </c>
    </row>
    <row r="69" spans="1:8">
      <c r="A69" s="18">
        <v>4068</v>
      </c>
      <c r="B69" s="20" t="s">
        <v>38</v>
      </c>
      <c r="C69" s="20" t="s">
        <v>11</v>
      </c>
      <c r="D69" s="20" t="s">
        <v>12</v>
      </c>
      <c r="E69" s="18">
        <v>28</v>
      </c>
      <c r="F69" s="22">
        <v>10</v>
      </c>
      <c r="G69" s="19">
        <v>45507</v>
      </c>
      <c r="H69" s="24">
        <f t="shared" si="1"/>
        <v>280</v>
      </c>
    </row>
    <row r="70" spans="1:8">
      <c r="A70" s="18">
        <v>4069</v>
      </c>
      <c r="B70" s="20" t="s">
        <v>40</v>
      </c>
      <c r="C70" s="20" t="s">
        <v>14</v>
      </c>
      <c r="D70" s="20" t="s">
        <v>19</v>
      </c>
      <c r="E70" s="18">
        <v>32</v>
      </c>
      <c r="F70" s="22">
        <v>5</v>
      </c>
      <c r="G70" s="19">
        <v>45538</v>
      </c>
      <c r="H70" s="24">
        <f t="shared" si="1"/>
        <v>160</v>
      </c>
    </row>
    <row r="71" spans="1:8">
      <c r="A71" s="18">
        <v>4070</v>
      </c>
      <c r="B71" s="20" t="s">
        <v>42</v>
      </c>
      <c r="C71" s="20" t="s">
        <v>17</v>
      </c>
      <c r="D71" s="20" t="s">
        <v>22</v>
      </c>
      <c r="E71" s="18">
        <v>24</v>
      </c>
      <c r="F71" s="22">
        <v>8</v>
      </c>
      <c r="G71" s="19">
        <v>45568</v>
      </c>
      <c r="H71" s="24">
        <f t="shared" si="1"/>
        <v>192</v>
      </c>
    </row>
  </sheetData>
  <mergeCells count="1">
    <mergeCell ref="K2:M2"/>
  </mergeCells>
  <conditionalFormatting sqref="A2:H71">
    <cfRule type="expression" dxfId="1" priority="2">
      <formula>$H2=MIN($H$2:$H$71)</formula>
    </cfRule>
    <cfRule type="expression" dxfId="2" priority="1">
      <formula>$H2=MAX($H$2:$H$71)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 Data</vt:lpstr>
      <vt:lpstr>Dataset</vt:lpstr>
      <vt:lpstr>Task 1 Total Sales</vt:lpstr>
      <vt:lpstr>Task 2 Data Formatting</vt:lpstr>
      <vt:lpstr>Task 3 Summary Calculations</vt:lpstr>
      <vt:lpstr>Task 5 Filtered Data</vt:lpstr>
      <vt:lpstr>Task 4 Sorted Data</vt:lpstr>
      <vt:lpstr>Task 6 Counting Records</vt:lpstr>
      <vt:lpstr>Task 7 Region Wise Summary</vt:lpstr>
      <vt:lpstr>Task 8 Identify Extreme Values</vt:lpstr>
      <vt:lpstr>Task 9 Top Order</vt:lpstr>
      <vt:lpstr>Task 10 Final Report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&amp; Anvika</dc:creator>
  <cp:lastModifiedBy>Vijay Kumar</cp:lastModifiedBy>
  <dcterms:created xsi:type="dcterms:W3CDTF">2015-06-05T18:17:20Z</dcterms:created>
  <dcterms:modified xsi:type="dcterms:W3CDTF">2026-07-19T16:05:39Z</dcterms:modified>
</cp:coreProperties>
</file>